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0080" tabRatio="810" activeTab="11"/>
  </bookViews>
  <sheets>
    <sheet name="项目规划" sheetId="11" r:id="rId1"/>
    <sheet name="公式表" sheetId="12" r:id="rId2"/>
    <sheet name="每日转化数据" sheetId="1" r:id="rId3"/>
    <sheet name="推广数据统计" sheetId="2" r:id="rId4"/>
    <sheet name="新老客销售数据" sheetId="3" state="hidden" r:id="rId5"/>
    <sheet name="每日直播数据总览 " sheetId="8" r:id="rId6"/>
    <sheet name="数据拆分表" sheetId="6" r:id="rId7"/>
    <sheet name="大场数据" sheetId="10" r:id="rId8"/>
    <sheet name="大场倒推数据表 " sheetId="13" r:id="rId9"/>
    <sheet name="立白大场" sheetId="14" r:id="rId10"/>
    <sheet name="大场规划表" sheetId="15" r:id="rId11"/>
    <sheet name="总结表" sheetId="9" r:id="rId1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D2" authorId="0">
      <text>
        <r>
          <rPr>
            <b/>
            <sz val="9"/>
            <rFont val="SimSun"/>
            <charset val="134"/>
          </rPr>
          <t>Administrator:</t>
        </r>
        <r>
          <rPr>
            <sz val="9"/>
            <rFont val="SimSun"/>
            <charset val="134"/>
          </rPr>
          <t xml:space="preserve">
全天</t>
        </r>
      </text>
    </comment>
    <comment ref="AE2" authorId="0">
      <text>
        <r>
          <rPr>
            <b/>
            <sz val="9"/>
            <rFont val="SimSun"/>
            <charset val="134"/>
          </rPr>
          <t>Administrator:</t>
        </r>
        <r>
          <rPr>
            <sz val="9"/>
            <rFont val="SimSun"/>
            <charset val="134"/>
          </rPr>
          <t xml:space="preserve">
幸运星
0元购</t>
        </r>
      </text>
    </comment>
  </commentList>
</comments>
</file>

<file path=xl/comments2.xml><?xml version="1.0" encoding="utf-8"?>
<comments xmlns="http://schemas.openxmlformats.org/spreadsheetml/2006/main">
  <authors>
    <author>15367</author>
  </authors>
  <commentList>
    <comment ref="AI1" authorId="0">
      <text>
        <r>
          <rPr>
            <sz val="9"/>
            <rFont val="SimSun"/>
            <charset val="134"/>
          </rPr>
          <t>直播间观看人次/曝光人次，直播间的一个曝光进入率
或者也可以理解为广告曝光点击率，这个数据统计出来可以看下系统给的点击率数据有没有大的偏差</t>
        </r>
      </text>
    </comment>
    <comment ref="AK1" authorId="0">
      <text>
        <r>
          <rPr>
            <sz val="9"/>
            <rFont val="SimSun"/>
            <charset val="134"/>
          </rPr>
          <t xml:space="preserve">单小时的消耗在整天总共消耗的一个占比
</t>
        </r>
      </text>
    </comment>
    <comment ref="AL1" authorId="0">
      <text>
        <r>
          <rPr>
            <sz val="9"/>
            <rFont val="SimSun"/>
            <charset val="134"/>
          </rPr>
          <t xml:space="preserve">单小时的成交在整天总成交的一个占比
</t>
        </r>
      </text>
    </comment>
    <comment ref="AM1" authorId="0">
      <text>
        <r>
          <rPr>
            <sz val="9"/>
            <rFont val="SimSun"/>
            <charset val="134"/>
          </rPr>
          <t>大场的单小时消耗在大场时间段内总消耗占比</t>
        </r>
      </text>
    </comment>
    <comment ref="AN1" authorId="0">
      <text>
        <r>
          <rPr>
            <sz val="9"/>
            <rFont val="SimSun"/>
            <charset val="134"/>
          </rPr>
          <t>大场的单小时成交在大场时间段内总成交占比</t>
        </r>
      </text>
    </comment>
    <comment ref="AI28" authorId="0">
      <text>
        <r>
          <rPr>
            <sz val="9"/>
            <rFont val="SimSun"/>
            <charset val="134"/>
          </rPr>
          <t>直播间观看人次/曝光人次，直播间的一个曝光进入率
或者也可以理解为广告曝光点击率，这个数据统计出来可以看下系统给的点击率数据有没有大的偏差</t>
        </r>
      </text>
    </comment>
    <comment ref="AK28" authorId="0">
      <text>
        <r>
          <rPr>
            <sz val="9"/>
            <rFont val="SimSun"/>
            <charset val="134"/>
          </rPr>
          <t xml:space="preserve">单小时的消耗在整天总共消耗的一个占比
</t>
        </r>
      </text>
    </comment>
    <comment ref="AL28" authorId="0">
      <text>
        <r>
          <rPr>
            <sz val="9"/>
            <rFont val="SimSun"/>
            <charset val="134"/>
          </rPr>
          <t xml:space="preserve">单小时的成交在整天总成交的一个占比
</t>
        </r>
      </text>
    </comment>
    <comment ref="AM28" authorId="0">
      <text>
        <r>
          <rPr>
            <sz val="9"/>
            <rFont val="SimSun"/>
            <charset val="134"/>
          </rPr>
          <t>大场的单小时消耗在大场时间段内总消耗占比</t>
        </r>
      </text>
    </comment>
    <comment ref="AN28" authorId="0">
      <text>
        <r>
          <rPr>
            <sz val="9"/>
            <rFont val="SimSun"/>
            <charset val="134"/>
          </rPr>
          <t>大场的单小时成交在大场时间段内总成交占比</t>
        </r>
      </text>
    </comment>
  </commentList>
</comments>
</file>

<file path=xl/comments3.xml><?xml version="1.0" encoding="utf-8"?>
<comments xmlns="http://schemas.openxmlformats.org/spreadsheetml/2006/main">
  <authors>
    <author>15367</author>
  </authors>
  <commentList>
    <comment ref="B2" authorId="0">
      <text>
        <r>
          <rPr>
            <sz val="9"/>
            <rFont val="SimSun"/>
            <charset val="134"/>
          </rPr>
          <t>并不是想要多少目标，除以想要的roi就能做到，要根据以往数据进行推算，比如上次消耗100w卖了200w，这次想100w卖300w，这样要需要曝光多少人，曝光成本差不多变动不会很大，那需要提升哪方面的数据才可以达成</t>
        </r>
      </text>
    </comment>
  </commentList>
</comments>
</file>

<file path=xl/comments4.xml><?xml version="1.0" encoding="utf-8"?>
<comments xmlns="http://schemas.openxmlformats.org/spreadsheetml/2006/main">
  <authors>
    <author>15367</author>
  </authors>
  <commentList>
    <comment ref="A10" authorId="0">
      <text>
        <r>
          <rPr>
            <sz val="9"/>
            <rFont val="SimSun"/>
            <charset val="134"/>
          </rPr>
          <t xml:space="preserve">参考以往大场数据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<sst xmlns="http://schemas.openxmlformats.org/spreadsheetml/2006/main" count="759" uniqueCount="353">
  <si>
    <t>做一个表，分周期，比如做雕牌这个项目，前期中期后期，也就是启动期间，盈利期间，放大期间，每个期间的总预算多少，冷启动一定是亏损吗，然后怎么在最短时间用最少的钱撬更大的回报； 减少亏损就是在前期中期后期这个总预算怎么分配各个环节</t>
  </si>
  <si>
    <t xml:space="preserve">销售额 = </t>
  </si>
  <si>
    <t>订单数 × 客单价</t>
  </si>
  <si>
    <t xml:space="preserve">销售额= </t>
  </si>
  <si>
    <t>展现量 × 点击率 × 转化率 × 客单价</t>
  </si>
  <si>
    <t>点击率</t>
  </si>
  <si>
    <t>广告素材被点击的次数占展示次数的百分比。计算方法：点击次数/展示次数*100%</t>
  </si>
  <si>
    <t>cpm</t>
  </si>
  <si>
    <t>广告平均每一千次展现的费用，计算公式是：总花费/展示数*1000。</t>
  </si>
  <si>
    <t>点击单价</t>
  </si>
  <si>
    <t>广告主为每次点击付出的费用成本，计算公式是：总花费/点击数</t>
  </si>
  <si>
    <t>转化率</t>
  </si>
  <si>
    <t>广告转化数/广告被用户点击的次数，反应计划转化能力</t>
  </si>
  <si>
    <t>单次曝光成本</t>
  </si>
  <si>
    <t>消耗 / 曝光数量</t>
  </si>
  <si>
    <t>单次观看成本</t>
  </si>
  <si>
    <t>消耗 / 观看次数</t>
  </si>
  <si>
    <t>曝光观看率</t>
  </si>
  <si>
    <t>观看次数 / 曝光次数</t>
  </si>
  <si>
    <t xml:space="preserve">UV价值 = </t>
  </si>
  <si>
    <t>(直播间销售额 / 直播间访客数)× 100%</t>
  </si>
  <si>
    <t>序号</t>
  </si>
  <si>
    <t>日期</t>
  </si>
  <si>
    <t>主播</t>
  </si>
  <si>
    <t>当天
总销售</t>
  </si>
  <si>
    <t>直播时长</t>
  </si>
  <si>
    <t>总花费</t>
  </si>
  <si>
    <t>总投产</t>
  </si>
  <si>
    <t>总投产
（去退款）</t>
  </si>
  <si>
    <t>观看
人次</t>
  </si>
  <si>
    <t>当天              退款金额</t>
  </si>
  <si>
    <t>实际          销售额</t>
  </si>
  <si>
    <t>退款占比</t>
  </si>
  <si>
    <t>杭州统计数据copy</t>
  </si>
  <si>
    <t>粉丝统计</t>
  </si>
  <si>
    <t>日常花费</t>
  </si>
  <si>
    <t>直播进入率</t>
  </si>
  <si>
    <t>直播互动率</t>
  </si>
  <si>
    <t>停留时长</t>
  </si>
  <si>
    <t>观看转化率</t>
  </si>
  <si>
    <t>投放流量占比</t>
  </si>
  <si>
    <t>投放流量成交金额占比</t>
  </si>
  <si>
    <t>uv值</t>
  </si>
  <si>
    <t>增粉数量</t>
  </si>
  <si>
    <t>关注率</t>
  </si>
  <si>
    <t>昨天粉丝量（万）</t>
  </si>
  <si>
    <t>当天粉丝量（万）</t>
  </si>
  <si>
    <t>粉丝增加量（万）</t>
  </si>
  <si>
    <t>推广
涨粉</t>
  </si>
  <si>
    <t>昨天粉丝团量（万）</t>
  </si>
  <si>
    <t>当天粉丝团量（万）</t>
  </si>
  <si>
    <t>粉丝团增加量（万）</t>
  </si>
  <si>
    <t>推广花费</t>
  </si>
  <si>
    <t>礼物支出</t>
  </si>
  <si>
    <t>粉丝福利</t>
  </si>
  <si>
    <t>108S</t>
  </si>
  <si>
    <t>小五</t>
  </si>
  <si>
    <t>86s</t>
  </si>
  <si>
    <t>100s</t>
  </si>
  <si>
    <t>99S</t>
  </si>
  <si>
    <t>104S</t>
  </si>
  <si>
    <t>109S</t>
  </si>
  <si>
    <t>102S</t>
  </si>
  <si>
    <t>106s</t>
  </si>
  <si>
    <t>115S</t>
  </si>
  <si>
    <t>117S</t>
  </si>
  <si>
    <t>134S</t>
  </si>
  <si>
    <t>12.01%%</t>
  </si>
  <si>
    <t>111s</t>
  </si>
  <si>
    <t>131s</t>
  </si>
  <si>
    <t>2.85%%</t>
  </si>
  <si>
    <t>2.5%%</t>
  </si>
  <si>
    <t>141S</t>
  </si>
  <si>
    <t>13.08%%</t>
  </si>
  <si>
    <t>106</t>
  </si>
  <si>
    <t>停播</t>
  </si>
  <si>
    <t>105S</t>
  </si>
  <si>
    <t>1.35%%</t>
  </si>
  <si>
    <t>87s</t>
  </si>
  <si>
    <t>70.41%%</t>
  </si>
  <si>
    <t>93.54%%</t>
  </si>
  <si>
    <t>58s</t>
  </si>
  <si>
    <t>94s</t>
  </si>
  <si>
    <t>推广数据统计</t>
  </si>
  <si>
    <t>千川推广</t>
  </si>
  <si>
    <t>抖+</t>
  </si>
  <si>
    <t>随心推</t>
  </si>
  <si>
    <t>feedslive</t>
  </si>
  <si>
    <t xml:space="preserve">种草通
</t>
  </si>
  <si>
    <t>消耗</t>
  </si>
  <si>
    <t>展示次数</t>
  </si>
  <si>
    <t>点击次数</t>
  </si>
  <si>
    <t>平均千次展现费用</t>
  </si>
  <si>
    <t>7日总支付ROI</t>
  </si>
  <si>
    <t>7日总成交订单数</t>
  </si>
  <si>
    <t>7日总成交金额</t>
  </si>
  <si>
    <t>直接成交订单数</t>
  </si>
  <si>
    <t>直接成交金额</t>
  </si>
  <si>
    <t>成交智能优惠券金额</t>
  </si>
  <si>
    <t>直接支付ROI</t>
  </si>
  <si>
    <t>转化数</t>
  </si>
  <si>
    <t>转化成本</t>
  </si>
  <si>
    <t>广告平均成交金额</t>
  </si>
  <si>
    <t>直播间观看人次</t>
  </si>
  <si>
    <t>有效看播数</t>
  </si>
  <si>
    <t>有效看播率</t>
  </si>
  <si>
    <t>有效看播成本</t>
  </si>
  <si>
    <t>直接退款金额（7天）</t>
  </si>
  <si>
    <t>直接退款率(7天)</t>
  </si>
  <si>
    <t>直接成交金额结算率(7天)</t>
  </si>
  <si>
    <t>直接结算ROI(7天)</t>
  </si>
  <si>
    <t>直接结算成本（7天）</t>
  </si>
  <si>
    <t>涨粉量</t>
  </si>
  <si>
    <t>涨粉成本</t>
  </si>
  <si>
    <t>平均在线人数</t>
  </si>
  <si>
    <t>单次展示成本(曝光成本）</t>
  </si>
  <si>
    <t>观看单次成本（场观）</t>
  </si>
  <si>
    <t>优惠券占比</t>
  </si>
  <si>
    <t>观看-成交率</t>
  </si>
  <si>
    <t>直投消耗</t>
  </si>
  <si>
    <t>素材消耗</t>
  </si>
  <si>
    <t>直投占比</t>
  </si>
  <si>
    <t>素材占比</t>
  </si>
  <si>
    <t>通投消耗</t>
  </si>
  <si>
    <t>搜索消耗</t>
  </si>
  <si>
    <t>商品消耗</t>
  </si>
  <si>
    <t>花费</t>
  </si>
  <si>
    <t>成交额</t>
  </si>
  <si>
    <t>投产</t>
  </si>
  <si>
    <t>新老客销售数据统计</t>
  </si>
  <si>
    <t>新客销售额</t>
  </si>
  <si>
    <t>新客累计观看人数</t>
  </si>
  <si>
    <t>老客销售额</t>
  </si>
  <si>
    <t xml:space="preserve">老客累计观看人数 </t>
  </si>
  <si>
    <t>总计</t>
  </si>
  <si>
    <t>新客占比</t>
  </si>
  <si>
    <t>老客占比</t>
  </si>
  <si>
    <t>店铺首单新客直接成交金额</t>
  </si>
  <si>
    <t>店铺首单新客订单占比</t>
  </si>
  <si>
    <t>抖音号首单新客直接成交金额</t>
  </si>
  <si>
    <t>抖音号首单新客订单占比</t>
  </si>
  <si>
    <t>品牌首单新客直接成交金额</t>
  </si>
  <si>
    <t>品牌首单新客订单占比</t>
  </si>
  <si>
    <t xml:space="preserve">   </t>
  </si>
  <si>
    <t>①：当天花费共计1.9w，退款前销售额共计7.6w；预估实际投产3.15；
②：当天累计总观看人次64.9万；其中新客累计观看人次60.7万，占比93.52%，老客累计观看人次4.2万，占比6.48%；
当天退款前总销售额7.6万；其中新客销售额2.9万，占比38.15%；老客销售额4.8万，占比61.8%；
③：今天涨粉共计730</t>
  </si>
  <si>
    <t>总成交</t>
  </si>
  <si>
    <t>今天涨粉儿共计</t>
  </si>
  <si>
    <t>今日直播时长</t>
  </si>
  <si>
    <t>基础整体数据</t>
  </si>
  <si>
    <t>整体roi（退前）</t>
  </si>
  <si>
    <t>当天退款金额</t>
  </si>
  <si>
    <t>当天退货率</t>
  </si>
  <si>
    <t>实际总成交（退后）</t>
  </si>
  <si>
    <t>总场观</t>
  </si>
  <si>
    <t>观看成本</t>
  </si>
  <si>
    <t>实际整体roi（退后）</t>
  </si>
  <si>
    <t>千川消耗</t>
  </si>
  <si>
    <t>千川成交</t>
  </si>
  <si>
    <t>千川直接roi</t>
  </si>
  <si>
    <t>千川当天优惠券成交</t>
  </si>
  <si>
    <t>自然流成交</t>
  </si>
  <si>
    <t>自然流成交占比</t>
  </si>
  <si>
    <t>千川优惠券成交占比</t>
  </si>
  <si>
    <t>千川成交占比</t>
  </si>
  <si>
    <t>推广数据</t>
  </si>
  <si>
    <t>千川</t>
  </si>
  <si>
    <t>千川转化数据</t>
  </si>
  <si>
    <t>千川直接成交</t>
  </si>
  <si>
    <t>千川优惠券成交</t>
  </si>
  <si>
    <t>千川总成交（直+券）</t>
  </si>
  <si>
    <t>千川优惠券占比</t>
  </si>
  <si>
    <t>千川当天退后gmv</t>
  </si>
  <si>
    <t>千川当天退货率</t>
  </si>
  <si>
    <t>千川当天结算roi</t>
  </si>
  <si>
    <t>千川基础数据</t>
  </si>
  <si>
    <t>新增粉丝数</t>
  </si>
  <si>
    <t>千川数据拆分</t>
  </si>
  <si>
    <t>均小时流速</t>
  </si>
  <si>
    <t>均小时产出</t>
  </si>
  <si>
    <t>千川uv值</t>
  </si>
  <si>
    <t>触点拆分</t>
  </si>
  <si>
    <t>新老客数据</t>
  </si>
  <si>
    <t>小店随心推</t>
  </si>
  <si>
    <t>成交</t>
  </si>
  <si>
    <t>roi</t>
  </si>
  <si>
    <t>涨粉</t>
  </si>
  <si>
    <t>种草通</t>
  </si>
  <si>
    <t>粉丝数据</t>
  </si>
  <si>
    <t>粉丝量（万）</t>
  </si>
  <si>
    <t>粉丝团量（万）</t>
  </si>
  <si>
    <t>全天涨粉（万）</t>
  </si>
  <si>
    <t>粉丝团增量（万）</t>
  </si>
  <si>
    <t>粉丝团占比</t>
  </si>
  <si>
    <t>销售目标</t>
  </si>
  <si>
    <t>10月销售目标</t>
  </si>
  <si>
    <t>已完成退前</t>
  </si>
  <si>
    <t>未完成</t>
  </si>
  <si>
    <t>完成率</t>
  </si>
  <si>
    <t>均每日完成目标</t>
  </si>
  <si>
    <t>节奏</t>
  </si>
  <si>
    <t>直接成交</t>
  </si>
  <si>
    <t>优惠券成交</t>
  </si>
  <si>
    <t>直接roi</t>
  </si>
  <si>
    <t>日常</t>
  </si>
  <si>
    <t>小五大场</t>
  </si>
  <si>
    <t>双十一节点</t>
  </si>
  <si>
    <t>这个表格可以单独做一些重要数据的展现  ：消耗  成交  roi  cpm  重要数据</t>
  </si>
  <si>
    <t>抖音号名称</t>
  </si>
  <si>
    <t>抖音号ID</t>
  </si>
  <si>
    <t>小时区间</t>
  </si>
  <si>
    <t>直接退款金额(7天)</t>
  </si>
  <si>
    <t>直接结算成本(7天)</t>
  </si>
  <si>
    <t>单小时消耗占比</t>
  </si>
  <si>
    <t>单小时成交占比</t>
  </si>
  <si>
    <t>大场单小时消耗占比</t>
  </si>
  <si>
    <t>大场单小时成交占比</t>
  </si>
  <si>
    <t>雕牌官方旗舰店</t>
  </si>
  <si>
    <t>naaisijituan73</t>
  </si>
  <si>
    <t>全部</t>
  </si>
  <si>
    <t>00:00 ~ 01:00</t>
  </si>
  <si>
    <t>01:00 ~ 02:00</t>
  </si>
  <si>
    <t>02:00 ~ 03:00</t>
  </si>
  <si>
    <t>03:00 ~ 04:00</t>
  </si>
  <si>
    <t>04:00 ~ 05:00</t>
  </si>
  <si>
    <t>05:00 ~ 06:00</t>
  </si>
  <si>
    <t>06:00 ~ 07:00</t>
  </si>
  <si>
    <t>07:00 ~ 08:00</t>
  </si>
  <si>
    <t>08:00 ~ 09:00</t>
  </si>
  <si>
    <t>09:00 ~ 10:00</t>
  </si>
  <si>
    <t>10:00 ~ 11:00</t>
  </si>
  <si>
    <t>11:00 ~ 12:00</t>
  </si>
  <si>
    <t>12:00 ~ 13:00</t>
  </si>
  <si>
    <t>13:00 ~ 14:00</t>
  </si>
  <si>
    <t>14:00 ~ 15:00</t>
  </si>
  <si>
    <t>15:00 ~ 16:00</t>
  </si>
  <si>
    <t>16:00 ~ 17:00</t>
  </si>
  <si>
    <t>17:00 ~ 18:00</t>
  </si>
  <si>
    <t>18:00 ~ 19:00</t>
  </si>
  <si>
    <t>19:00 ~ 20:00</t>
  </si>
  <si>
    <t>20:00 ~ 21:00</t>
  </si>
  <si>
    <t>21:00 ~ 22:00</t>
  </si>
  <si>
    <t>22:00 ~ 23:00</t>
  </si>
  <si>
    <t>23:00 ~ 24:00</t>
  </si>
  <si>
    <t>销售额 = 订单数 × 客单价    销售额= 展现量 × 点击率 × 转化率 × 客单价  销售额= 直播间访客*UV价值
订单数=展现量 × 点击率 × 转化率         销售额=场观*观看转化率*客单价   场观=曝光人次*曝光进入率   
点击率:广告素材被点击的次数占展示次数的百分比。计算方法：点击次数/展示次数*100%
cpm:广告平均每一千次展现的费用，计算公式是：总花费/展示数*1000。
点击单价:广告主为每次点击付出的费用成本，计算公式是：总花费/点击数
转化率:广告转化数/广告被用户点击的次数，反应计划转化能力
单次曝光成本:消耗 / 曝光数量       单次观看成本:消耗 / 观看次数      曝光观看率:观看次数 / 曝光次数
UV价值 = (直播间销售额 / 直播间访客数)× 100%</t>
  </si>
  <si>
    <t>以下次大场目标gmv和目标roi先倒推出来所需预算；然后再通过以往大场数据要完成这个目标gmv倒推出所需曝光量和观看人次</t>
  </si>
  <si>
    <r>
      <rPr>
        <b/>
        <sz val="10"/>
        <color theme="1"/>
        <rFont val="宋体"/>
        <charset val="134"/>
        <scheme val="minor"/>
      </rPr>
      <t>按照下次大场</t>
    </r>
    <r>
      <rPr>
        <b/>
        <sz val="10"/>
        <color rgb="FFFF0000"/>
        <rFont val="宋体"/>
        <charset val="134"/>
        <scheme val="minor"/>
      </rPr>
      <t>目标gmv</t>
    </r>
    <r>
      <rPr>
        <b/>
        <sz val="10"/>
        <rFont val="宋体"/>
        <charset val="134"/>
        <scheme val="minor"/>
      </rPr>
      <t>与上次大场转化数据进行倒推</t>
    </r>
    <r>
      <rPr>
        <b/>
        <sz val="10"/>
        <color theme="1"/>
        <rFont val="宋体"/>
        <charset val="134"/>
        <scheme val="minor"/>
      </rPr>
      <t>所需</t>
    </r>
    <r>
      <rPr>
        <b/>
        <sz val="10"/>
        <color rgb="FFFF0000"/>
        <rFont val="宋体"/>
        <charset val="134"/>
        <scheme val="minor"/>
      </rPr>
      <t>曝光人次和观看人数</t>
    </r>
    <r>
      <rPr>
        <b/>
        <sz val="10"/>
        <color theme="1"/>
        <rFont val="宋体"/>
        <charset val="134"/>
        <scheme val="minor"/>
      </rPr>
      <t>（这个推算要结合下次的预算进行对比，是否可以达到目标GMV）</t>
    </r>
  </si>
  <si>
    <t>下次大场目标gmv（定量）含优惠券</t>
  </si>
  <si>
    <t>下次大场整体roi（定量）</t>
  </si>
  <si>
    <t>倒推预算</t>
  </si>
  <si>
    <t>下次大场目标gmv（定量）直接成交</t>
  </si>
  <si>
    <t>基本情况</t>
  </si>
  <si>
    <t>主推客单价</t>
  </si>
  <si>
    <t>平均客单价</t>
  </si>
  <si>
    <t>销售额= 展现量 × 点击率 × 转化率 × 客单价</t>
  </si>
  <si>
    <t>曝光点击率</t>
  </si>
  <si>
    <t>点击转化率</t>
  </si>
  <si>
    <t>需曝光量</t>
  </si>
  <si>
    <t>需要场观</t>
  </si>
  <si>
    <t>销售额= 直播间访客*UV价值</t>
  </si>
  <si>
    <t>曝光进入率</t>
  </si>
  <si>
    <t>需场观(变量）</t>
  </si>
  <si>
    <t>销售额=场观*观看转化率*客单价</t>
  </si>
  <si>
    <t>观看-成交转化率</t>
  </si>
  <si>
    <t>CPM=总花费/展示数*1000</t>
  </si>
  <si>
    <t>按成本推算</t>
  </si>
  <si>
    <r>
      <rPr>
        <sz val="11"/>
        <color theme="1"/>
        <rFont val="宋体"/>
        <charset val="134"/>
        <scheme val="minor"/>
      </rPr>
      <t xml:space="preserve">这个是来验证，完成下次目标gmv所需的预算和曝光人次及观看人次，参考上次大场的曝光成本加上这次的预算，推算出能完成多少gmv；
</t>
    </r>
    <r>
      <rPr>
        <b/>
        <sz val="11"/>
        <color theme="1"/>
        <rFont val="宋体"/>
        <charset val="134"/>
        <scheme val="minor"/>
      </rPr>
      <t>主要是验证是否合理</t>
    </r>
  </si>
  <si>
    <r>
      <rPr>
        <b/>
        <sz val="10"/>
        <color theme="1"/>
        <rFont val="宋体"/>
        <charset val="134"/>
        <scheme val="minor"/>
      </rPr>
      <t>按照</t>
    </r>
    <r>
      <rPr>
        <b/>
        <sz val="10"/>
        <color rgb="FFFF0000"/>
        <rFont val="宋体"/>
        <charset val="134"/>
        <scheme val="minor"/>
      </rPr>
      <t>上次大场曝光成本</t>
    </r>
    <r>
      <rPr>
        <b/>
        <sz val="10"/>
        <color theme="1"/>
        <rFont val="宋体"/>
        <charset val="134"/>
        <scheme val="minor"/>
      </rPr>
      <t>和</t>
    </r>
    <r>
      <rPr>
        <b/>
        <sz val="10"/>
        <color rgb="FFFF0000"/>
        <rFont val="宋体"/>
        <charset val="134"/>
        <scheme val="minor"/>
      </rPr>
      <t>下次大场预算</t>
    </r>
    <r>
      <rPr>
        <b/>
        <sz val="10"/>
        <color theme="1"/>
        <rFont val="宋体"/>
        <charset val="134"/>
        <scheme val="minor"/>
      </rPr>
      <t>进行倒推</t>
    </r>
    <r>
      <rPr>
        <b/>
        <sz val="10"/>
        <color rgb="FFFF0000"/>
        <rFont val="宋体"/>
        <charset val="134"/>
        <scheme val="minor"/>
      </rPr>
      <t>曝光人次</t>
    </r>
    <r>
      <rPr>
        <b/>
        <sz val="10"/>
        <color theme="1"/>
        <rFont val="宋体"/>
        <charset val="134"/>
        <scheme val="minor"/>
      </rPr>
      <t>，然后根据上次大场的点击转化率和下次的客单价进行推算出能完成多少目标gmv</t>
    </r>
  </si>
  <si>
    <t>参考以往大场数据日期</t>
  </si>
  <si>
    <t>上次大场主推产品客单价</t>
  </si>
  <si>
    <t>以往数据展现
销售额（定量）</t>
  </si>
  <si>
    <t>智能优惠券成交</t>
  </si>
  <si>
    <t>千川总成交</t>
  </si>
  <si>
    <t>平均客单价(因变量）</t>
  </si>
  <si>
    <t>展现量（上次大场）</t>
  </si>
  <si>
    <t>场观（上次大场）</t>
  </si>
  <si>
    <t>点击率(因变量）</t>
  </si>
  <si>
    <t>转化率(因变量）</t>
  </si>
  <si>
    <t>倒推销售额</t>
  </si>
  <si>
    <t>以曝光成本推算</t>
  </si>
  <si>
    <t>曝光成本</t>
  </si>
  <si>
    <t>下次大场预算</t>
  </si>
  <si>
    <t>展现量（定量根据预算)</t>
  </si>
  <si>
    <t>下次大场平均客单价</t>
  </si>
  <si>
    <t>预估点击率</t>
  </si>
  <si>
    <t>预估转化率</t>
  </si>
  <si>
    <t>预估直接成交</t>
  </si>
  <si>
    <t>预估优惠券</t>
  </si>
  <si>
    <t>预估总gmv</t>
  </si>
  <si>
    <t>以观看成本推算</t>
  </si>
  <si>
    <t>观看人次（定量根据预算)</t>
  </si>
  <si>
    <t>预估观看转化率</t>
  </si>
  <si>
    <t>展现量 × 点击率 × 转化率 × 客单价=直接成交金额（不包含优惠券成交）    到推算的时候客单价要按照平均客单价  千川上的平均客单价是不包含优惠券的</t>
  </si>
  <si>
    <r>
      <rPr>
        <b/>
        <sz val="11"/>
        <color rgb="FFFF0000"/>
        <rFont val="宋体"/>
        <charset val="134"/>
        <scheme val="minor"/>
      </rPr>
      <t>1.</t>
    </r>
    <r>
      <rPr>
        <sz val="11"/>
        <color theme="1"/>
        <rFont val="宋体"/>
        <charset val="134"/>
        <scheme val="minor"/>
      </rPr>
      <t xml:space="preserve">销售额（定量）= 展现量（定量根据预算) × 点击率(因变量） × 转化率(因变量） × 客单价(因变量）
</t>
    </r>
    <r>
      <rPr>
        <b/>
        <sz val="11"/>
        <color rgb="FFFF0000"/>
        <rFont val="宋体"/>
        <charset val="134"/>
        <scheme val="minor"/>
      </rPr>
      <t>2.</t>
    </r>
    <r>
      <rPr>
        <sz val="11"/>
        <color theme="1"/>
        <rFont val="宋体"/>
        <charset val="134"/>
        <scheme val="minor"/>
      </rPr>
      <t xml:space="preserve">还有观看进入率也是因变量
</t>
    </r>
    <r>
      <rPr>
        <b/>
        <sz val="11"/>
        <color rgb="FFFF0000"/>
        <rFont val="宋体"/>
        <charset val="134"/>
        <scheme val="minor"/>
      </rPr>
      <t>3.</t>
    </r>
    <r>
      <rPr>
        <sz val="11"/>
        <color theme="1"/>
        <rFont val="宋体"/>
        <charset val="134"/>
        <scheme val="minor"/>
      </rPr>
      <t xml:space="preserve">  10.17的曝光成本多少，然后根据这次预算，进行推算，这次能曝光多少人次，然后根据之前的点击率转化率等数据，进行再推算出来，销售额
</t>
    </r>
    <r>
      <rPr>
        <b/>
        <sz val="11"/>
        <color rgb="FFFF0000"/>
        <rFont val="宋体"/>
        <charset val="134"/>
        <scheme val="minor"/>
      </rPr>
      <t>4.</t>
    </r>
    <r>
      <rPr>
        <sz val="11"/>
        <color theme="1"/>
        <rFont val="宋体"/>
        <charset val="134"/>
        <scheme val="minor"/>
      </rPr>
      <t xml:space="preserve">按照以往大场单次曝光成本进行推算这次目标的所需的预算
</t>
    </r>
    <r>
      <rPr>
        <b/>
        <sz val="11"/>
        <color rgb="FFFF0000"/>
        <rFont val="宋体"/>
        <charset val="134"/>
        <scheme val="minor"/>
      </rPr>
      <t>5.</t>
    </r>
    <r>
      <rPr>
        <sz val="11"/>
        <color theme="1"/>
        <rFont val="宋体"/>
        <charset val="134"/>
        <scheme val="minor"/>
      </rPr>
      <t xml:space="preserve">按照以往大场单次观看成本进行推算这次目标的所需的预算
</t>
    </r>
    <r>
      <rPr>
        <b/>
        <sz val="11"/>
        <color rgb="FFFF0000"/>
        <rFont val="宋体"/>
        <charset val="134"/>
        <scheme val="minor"/>
      </rPr>
      <t>6.</t>
    </r>
    <r>
      <rPr>
        <sz val="11"/>
        <color theme="1"/>
        <rFont val="宋体"/>
        <charset val="134"/>
        <scheme val="minor"/>
      </rPr>
      <t>（定量）（变量）（因变量）</t>
    </r>
  </si>
  <si>
    <t>cpm:广告平均每一千次展现的费用，计算公式是：总花费/展示数*1000。</t>
  </si>
  <si>
    <t>11.6大场规划表</t>
  </si>
  <si>
    <t>整天gmv目标</t>
  </si>
  <si>
    <t>整天整体roi目标</t>
  </si>
  <si>
    <t>当天SOP</t>
  </si>
  <si>
    <t>日常店播</t>
  </si>
  <si>
    <t>小五进场</t>
  </si>
  <si>
    <t>正常店播</t>
  </si>
  <si>
    <t>阶段拆分</t>
  </si>
  <si>
    <t>占比拆分</t>
  </si>
  <si>
    <t>目标拆分</t>
  </si>
  <si>
    <t>整体节奏</t>
  </si>
  <si>
    <t>冲刺第一波销量</t>
  </si>
  <si>
    <t>早高峰时段</t>
  </si>
  <si>
    <t>平稳投放时段</t>
  </si>
  <si>
    <t>做好预热阶段</t>
  </si>
  <si>
    <t>重点冲量阶段</t>
  </si>
  <si>
    <t>收尾阶段</t>
  </si>
  <si>
    <t>累计达成点</t>
  </si>
  <si>
    <t>10w</t>
  </si>
  <si>
    <t>20w</t>
  </si>
  <si>
    <t>44w</t>
  </si>
  <si>
    <t>200w</t>
  </si>
  <si>
    <t>240w</t>
  </si>
  <si>
    <t>245w</t>
  </si>
  <si>
    <t>时间线</t>
  </si>
  <si>
    <t>6：00-7：00</t>
  </si>
  <si>
    <t>7：00-8：00</t>
  </si>
  <si>
    <t>8：00-9：00</t>
  </si>
  <si>
    <t>9：00-10：00</t>
  </si>
  <si>
    <t>10：00-11：00</t>
  </si>
  <si>
    <t>11：00-12：00</t>
  </si>
  <si>
    <t>12：00-13：00</t>
  </si>
  <si>
    <t>13：00-14：00</t>
  </si>
  <si>
    <t>14：00-15：00</t>
  </si>
  <si>
    <t>15：00-16：00</t>
  </si>
  <si>
    <t>16：00-17：00</t>
  </si>
  <si>
    <t>17：00-18：00</t>
  </si>
  <si>
    <t>18：00-19：00</t>
  </si>
  <si>
    <t>19：00-20：00</t>
  </si>
  <si>
    <t>20：00-21：00</t>
  </si>
  <si>
    <t>21：00-22：00</t>
  </si>
  <si>
    <t>22：00-23：00</t>
  </si>
  <si>
    <t>23：00-24：00</t>
  </si>
  <si>
    <t>00：00-01：00</t>
  </si>
  <si>
    <t>00：10-02：00</t>
  </si>
  <si>
    <t>上次大场每小时销量占比</t>
  </si>
  <si>
    <t>上次大场每小时总成交</t>
  </si>
  <si>
    <t>时段销量目标</t>
  </si>
  <si>
    <t>大场占比拆分</t>
  </si>
  <si>
    <t>时段roi预估</t>
  </si>
  <si>
    <t>时段消耗预估</t>
  </si>
  <si>
    <t>助播</t>
  </si>
  <si>
    <t>场控</t>
  </si>
  <si>
    <t>总曝光预估</t>
  </si>
  <si>
    <t>总场观预估</t>
  </si>
  <si>
    <t>日常期间</t>
  </si>
  <si>
    <t>要留意大促期间转化目标（转化计划和加热计划的成本是不一样的）
还有就是大促期间或者达播期间的系数和日常的出价一定是高低区别挺大，要分析成本和这个有没有关系；
还有一点看下大促或者达播期间这个流速起来后，流量是越来约便宜还是越来越贵，达播可以拉出来分时数据来对比</t>
  </si>
  <si>
    <t>大促期间（节点）看看大盘的流量成本情况</t>
  </si>
  <si>
    <t>达人大促期间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</si>
</sst>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quot;.&quot;0,&quot;万&quot;"/>
    <numFmt numFmtId="179" formatCode="0.00_ "/>
    <numFmt numFmtId="180" formatCode="0.000_ "/>
    <numFmt numFmtId="181" formatCode="0.0%"/>
    <numFmt numFmtId="182" formatCode="0_ "/>
    <numFmt numFmtId="183" formatCode="0.00_);[Red]\(0.00\)"/>
    <numFmt numFmtId="184" formatCode="0.0_ "/>
    <numFmt numFmtId="185" formatCode="_ * #,##0.00_ ;_ * \-#,##0.00_ ;_ * &quot;-&quot;??.0_ ;_ @_ "/>
    <numFmt numFmtId="186" formatCode="0.0_);[Red]\(0.0\)"/>
    <numFmt numFmtId="187" formatCode="m&quot;月&quot;d&quot;日&quot;;@"/>
    <numFmt numFmtId="188" formatCode="#,##0.00_ "/>
  </numFmts>
  <fonts count="62">
    <font>
      <sz val="11"/>
      <color theme="1"/>
      <name val="宋体"/>
      <charset val="134"/>
      <scheme val="minor"/>
    </font>
    <font>
      <b/>
      <sz val="12"/>
      <color theme="1"/>
      <name val="微软雅黑"/>
      <charset val="134"/>
    </font>
    <font>
      <b/>
      <sz val="11"/>
      <color theme="1"/>
      <name val="微软雅黑"/>
      <charset val="134"/>
    </font>
    <font>
      <sz val="11"/>
      <color theme="1"/>
      <name val="微软雅黑"/>
      <charset val="134"/>
    </font>
    <font>
      <b/>
      <sz val="10"/>
      <color theme="1"/>
      <name val="宋体"/>
      <charset val="134"/>
      <scheme val="minor"/>
    </font>
    <font>
      <b/>
      <sz val="12"/>
      <color theme="1"/>
      <name val="宋体"/>
      <charset val="134"/>
      <scheme val="minor"/>
    </font>
    <font>
      <b/>
      <sz val="11"/>
      <color theme="1"/>
      <name val="宋体"/>
      <charset val="134"/>
      <scheme val="minor"/>
    </font>
    <font>
      <b/>
      <sz val="12"/>
      <name val="微软雅黑"/>
      <charset val="134"/>
    </font>
    <font>
      <b/>
      <sz val="12"/>
      <color theme="0"/>
      <name val="微软雅黑"/>
      <charset val="134"/>
    </font>
    <font>
      <b/>
      <sz val="14"/>
      <color theme="1"/>
      <name val="宋体"/>
      <charset val="134"/>
      <scheme val="minor"/>
    </font>
    <font>
      <b/>
      <sz val="11"/>
      <color rgb="FFFF0000"/>
      <name val="宋体"/>
      <charset val="134"/>
      <scheme val="minor"/>
    </font>
    <font>
      <sz val="11"/>
      <color rgb="FFFF0000"/>
      <name val="微软雅黑"/>
      <charset val="134"/>
    </font>
    <font>
      <b/>
      <sz val="11"/>
      <color rgb="FFFF0000"/>
      <name val="微软雅黑"/>
      <charset val="134"/>
    </font>
    <font>
      <sz val="10"/>
      <color theme="1"/>
      <name val="宋体"/>
      <charset val="134"/>
      <scheme val="minor"/>
    </font>
    <font>
      <b/>
      <sz val="10"/>
      <color theme="0"/>
      <name val="微软雅黑"/>
      <charset val="134"/>
    </font>
    <font>
      <sz val="11"/>
      <color theme="1"/>
      <name val="Calibri"/>
      <charset val="134"/>
    </font>
    <font>
      <sz val="12"/>
      <name val="宋体"/>
      <charset val="134"/>
    </font>
    <font>
      <b/>
      <sz val="14"/>
      <name val="微软雅黑"/>
      <charset val="134"/>
    </font>
    <font>
      <sz val="12"/>
      <name val="微软雅黑"/>
      <charset val="134"/>
    </font>
    <font>
      <b/>
      <sz val="12"/>
      <color rgb="FF000000"/>
      <name val="微软雅黑"/>
      <charset val="134"/>
    </font>
    <font>
      <b/>
      <sz val="11"/>
      <name val="微软雅黑"/>
      <charset val="134"/>
    </font>
    <font>
      <b/>
      <sz val="11"/>
      <color rgb="FF000000"/>
      <name val="微软雅黑"/>
      <charset val="134"/>
    </font>
    <font>
      <b/>
      <sz val="11"/>
      <color rgb="FF00B050"/>
      <name val="微软雅黑"/>
      <charset val="134"/>
    </font>
    <font>
      <sz val="11"/>
      <name val="微软雅黑"/>
      <charset val="134"/>
    </font>
    <font>
      <sz val="14"/>
      <color theme="1"/>
      <name val="微软雅黑"/>
      <charset val="134"/>
    </font>
    <font>
      <b/>
      <sz val="8"/>
      <color theme="0"/>
      <name val="微软雅黑"/>
      <charset val="134"/>
    </font>
    <font>
      <sz val="10.5"/>
      <color rgb="FF323335"/>
      <name val="Tahoma"/>
      <charset val="134"/>
    </font>
    <font>
      <sz val="10.5"/>
      <color rgb="FF323335"/>
      <name val="Segoe UI"/>
      <charset val="134"/>
    </font>
    <font>
      <b/>
      <sz val="10"/>
      <name val="微软雅黑"/>
      <charset val="134"/>
    </font>
    <font>
      <sz val="11"/>
      <color rgb="FFFF0000"/>
      <name val="Calibri"/>
      <charset val="134"/>
    </font>
    <font>
      <sz val="11"/>
      <color rgb="FFFF0000"/>
      <name val="宋体"/>
      <charset val="134"/>
      <scheme val="minor"/>
    </font>
    <font>
      <b/>
      <sz val="9"/>
      <color theme="0"/>
      <name val="微软雅黑"/>
      <charset val="134"/>
    </font>
    <font>
      <b/>
      <sz val="9"/>
      <color theme="1"/>
      <name val="微软雅黑"/>
      <charset val="134"/>
    </font>
    <font>
      <sz val="9"/>
      <color theme="1"/>
      <name val="微软雅黑"/>
      <charset val="134"/>
    </font>
    <font>
      <sz val="10"/>
      <color theme="1"/>
      <name val="等线"/>
      <charset val="134"/>
    </font>
    <font>
      <sz val="10"/>
      <color theme="1"/>
      <name val="微软雅黑"/>
      <charset val="134"/>
    </font>
    <font>
      <sz val="11"/>
      <color rgb="FF17171A"/>
      <name val="等线"/>
      <charset val="134"/>
    </font>
    <font>
      <b/>
      <sz val="11"/>
      <name val="宋体"/>
      <charset val="134"/>
      <scheme val="minor"/>
    </font>
    <font>
      <sz val="11"/>
      <color rgb="FF17171A"/>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FF0000"/>
      <name val="宋体"/>
      <charset val="134"/>
      <scheme val="minor"/>
    </font>
    <font>
      <b/>
      <sz val="10"/>
      <name val="宋体"/>
      <charset val="134"/>
      <scheme val="minor"/>
    </font>
    <font>
      <b/>
      <sz val="9"/>
      <name val="SimSun"/>
      <charset val="134"/>
    </font>
    <font>
      <sz val="9"/>
      <name val="SimSun"/>
      <charset val="134"/>
    </font>
  </fonts>
  <fills count="49">
    <fill>
      <patternFill patternType="none"/>
    </fill>
    <fill>
      <patternFill patternType="gray125"/>
    </fill>
    <fill>
      <patternFill patternType="solid">
        <fgColor theme="5" tint="0.4"/>
        <bgColor indexed="64"/>
      </patternFill>
    </fill>
    <fill>
      <patternFill patternType="solid">
        <fgColor theme="9"/>
        <bgColor indexed="64"/>
      </patternFill>
    </fill>
    <fill>
      <patternFill patternType="solid">
        <fgColor theme="9" tint="0.4"/>
        <bgColor indexed="64"/>
      </patternFill>
    </fill>
    <fill>
      <patternFill patternType="solid">
        <fgColor theme="8" tint="0.4"/>
        <bgColor indexed="64"/>
      </patternFill>
    </fill>
    <fill>
      <patternFill patternType="solid">
        <fgColor theme="7" tint="0.4"/>
        <bgColor indexed="64"/>
      </patternFill>
    </fill>
    <fill>
      <patternFill patternType="solid">
        <fgColor theme="6" tint="0.4"/>
        <bgColor indexed="64"/>
      </patternFill>
    </fill>
    <fill>
      <patternFill patternType="solid">
        <fgColor theme="5" tint="-0.25"/>
        <bgColor indexed="64"/>
      </patternFill>
    </fill>
    <fill>
      <patternFill patternType="solid">
        <fgColor theme="4" tint="0.4"/>
        <bgColor indexed="64"/>
      </patternFill>
    </fill>
    <fill>
      <patternFill patternType="solid">
        <fgColor rgb="FFFFFF00"/>
        <bgColor indexed="64"/>
      </patternFill>
    </fill>
    <fill>
      <patternFill patternType="solid">
        <fgColor theme="7" tint="0.6"/>
        <bgColor indexed="64"/>
      </patternFill>
    </fill>
    <fill>
      <patternFill patternType="solid">
        <fgColor rgb="FFFF0000"/>
        <bgColor indexed="64"/>
      </patternFill>
    </fill>
    <fill>
      <patternFill patternType="solid">
        <fgColor theme="5" tint="0.6"/>
        <bgColor indexed="64"/>
      </patternFill>
    </fill>
    <fill>
      <patternFill patternType="solid">
        <fgColor rgb="FF308E98"/>
        <bgColor indexed="64"/>
      </patternFill>
    </fill>
    <fill>
      <patternFill patternType="solid">
        <fgColor rgb="FFF43308"/>
        <bgColor indexed="64"/>
      </patternFill>
    </fill>
    <fill>
      <patternFill patternType="solid">
        <fgColor theme="9" tint="0.8"/>
        <bgColor indexed="64"/>
      </patternFill>
    </fill>
    <fill>
      <patternFill patternType="solid">
        <fgColor theme="7"/>
        <bgColor indexed="64"/>
      </patternFill>
    </fill>
    <fill>
      <patternFill patternType="solid">
        <fgColor theme="4" tint="-0.25"/>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medium">
        <color auto="1"/>
      </top>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20" borderId="27"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28" applyNumberFormat="0" applyFill="0" applyAlignment="0" applyProtection="0">
      <alignment vertical="center"/>
    </xf>
    <xf numFmtId="0" fontId="45" fillId="0" borderId="28" applyNumberFormat="0" applyFill="0" applyAlignment="0" applyProtection="0">
      <alignment vertical="center"/>
    </xf>
    <xf numFmtId="0" fontId="46" fillId="0" borderId="29" applyNumberFormat="0" applyFill="0" applyAlignment="0" applyProtection="0">
      <alignment vertical="center"/>
    </xf>
    <xf numFmtId="0" fontId="46" fillId="0" borderId="0" applyNumberFormat="0" applyFill="0" applyBorder="0" applyAlignment="0" applyProtection="0">
      <alignment vertical="center"/>
    </xf>
    <xf numFmtId="0" fontId="47" fillId="21" borderId="30" applyNumberFormat="0" applyAlignment="0" applyProtection="0">
      <alignment vertical="center"/>
    </xf>
    <xf numFmtId="0" fontId="48" fillId="22" borderId="31" applyNumberFormat="0" applyAlignment="0" applyProtection="0">
      <alignment vertical="center"/>
    </xf>
    <xf numFmtId="0" fontId="49" fillId="22" borderId="30" applyNumberFormat="0" applyAlignment="0" applyProtection="0">
      <alignment vertical="center"/>
    </xf>
    <xf numFmtId="0" fontId="50" fillId="23" borderId="32" applyNumberFormat="0" applyAlignment="0" applyProtection="0">
      <alignment vertical="center"/>
    </xf>
    <xf numFmtId="0" fontId="51" fillId="0" borderId="33" applyNumberFormat="0" applyFill="0" applyAlignment="0" applyProtection="0">
      <alignment vertical="center"/>
    </xf>
    <xf numFmtId="0" fontId="52" fillId="0" borderId="34"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55" fillId="26" borderId="0" applyNumberFormat="0" applyBorder="0" applyAlignment="0" applyProtection="0">
      <alignment vertical="center"/>
    </xf>
    <xf numFmtId="0" fontId="56"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6" fillId="30" borderId="0" applyNumberFormat="0" applyBorder="0" applyAlignment="0" applyProtection="0">
      <alignment vertical="center"/>
    </xf>
    <xf numFmtId="0" fontId="56"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7" fillId="36" borderId="0" applyNumberFormat="0" applyBorder="0" applyAlignment="0" applyProtection="0">
      <alignment vertical="center"/>
    </xf>
    <xf numFmtId="0" fontId="57" fillId="37" borderId="0" applyNumberFormat="0" applyBorder="0" applyAlignment="0" applyProtection="0">
      <alignment vertical="center"/>
    </xf>
    <xf numFmtId="0" fontId="56" fillId="38" borderId="0" applyNumberFormat="0" applyBorder="0" applyAlignment="0" applyProtection="0">
      <alignment vertical="center"/>
    </xf>
    <xf numFmtId="0" fontId="56" fillId="17" borderId="0" applyNumberFormat="0" applyBorder="0" applyAlignment="0" applyProtection="0">
      <alignment vertical="center"/>
    </xf>
    <xf numFmtId="0" fontId="57" fillId="39" borderId="0" applyNumberFormat="0" applyBorder="0" applyAlignment="0" applyProtection="0">
      <alignment vertical="center"/>
    </xf>
    <xf numFmtId="0" fontId="57" fillId="40" borderId="0" applyNumberFormat="0" applyBorder="0" applyAlignment="0" applyProtection="0">
      <alignment vertical="center"/>
    </xf>
    <xf numFmtId="0" fontId="56" fillId="41" borderId="0" applyNumberFormat="0" applyBorder="0" applyAlignment="0" applyProtection="0">
      <alignment vertical="center"/>
    </xf>
    <xf numFmtId="0" fontId="56" fillId="42" borderId="0" applyNumberFormat="0" applyBorder="0" applyAlignment="0" applyProtection="0">
      <alignment vertical="center"/>
    </xf>
    <xf numFmtId="0" fontId="57" fillId="43" borderId="0" applyNumberFormat="0" applyBorder="0" applyAlignment="0" applyProtection="0">
      <alignment vertical="center"/>
    </xf>
    <xf numFmtId="0" fontId="57" fillId="44" borderId="0" applyNumberFormat="0" applyBorder="0" applyAlignment="0" applyProtection="0">
      <alignment vertical="center"/>
    </xf>
    <xf numFmtId="0" fontId="56" fillId="45" borderId="0" applyNumberFormat="0" applyBorder="0" applyAlignment="0" applyProtection="0">
      <alignment vertical="center"/>
    </xf>
    <xf numFmtId="0" fontId="56" fillId="3" borderId="0" applyNumberFormat="0" applyBorder="0" applyAlignment="0" applyProtection="0">
      <alignment vertical="center"/>
    </xf>
    <xf numFmtId="0" fontId="57" fillId="46" borderId="0" applyNumberFormat="0" applyBorder="0" applyAlignment="0" applyProtection="0">
      <alignment vertical="center"/>
    </xf>
    <xf numFmtId="0" fontId="57" fillId="47" borderId="0" applyNumberFormat="0" applyBorder="0" applyAlignment="0" applyProtection="0">
      <alignment vertical="center"/>
    </xf>
    <xf numFmtId="0" fontId="56" fillId="48" borderId="0" applyNumberFormat="0" applyBorder="0" applyAlignment="0" applyProtection="0">
      <alignment vertical="center"/>
    </xf>
  </cellStyleXfs>
  <cellXfs count="315">
    <xf numFmtId="0" fontId="0" fillId="0" borderId="0" xfId="0">
      <alignment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left" vertical="center"/>
    </xf>
    <xf numFmtId="178" fontId="1" fillId="0" borderId="1" xfId="0" applyNumberFormat="1" applyFont="1" applyFill="1" applyBorder="1" applyAlignment="1">
      <alignment horizontal="left" vertical="center"/>
    </xf>
    <xf numFmtId="0" fontId="1" fillId="0" borderId="1" xfId="0" applyNumberFormat="1" applyFont="1" applyFill="1" applyBorder="1" applyAlignment="1">
      <alignment horizontal="left" vertical="center"/>
    </xf>
    <xf numFmtId="0" fontId="1"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2" borderId="1" xfId="0" applyFont="1" applyFill="1" applyBorder="1" applyAlignment="1">
      <alignment horizontal="left" vertical="center" wrapText="1"/>
    </xf>
    <xf numFmtId="9" fontId="3" fillId="0" borderId="1" xfId="3" applyNumberFormat="1" applyFont="1" applyBorder="1" applyAlignment="1">
      <alignment horizontal="center" vertical="center"/>
    </xf>
    <xf numFmtId="9" fontId="3" fillId="0" borderId="1" xfId="3" applyFont="1" applyBorder="1" applyAlignment="1">
      <alignment horizontal="center" vertical="center"/>
    </xf>
    <xf numFmtId="9" fontId="3" fillId="0" borderId="1" xfId="0" applyNumberFormat="1" applyFont="1" applyBorder="1" applyAlignment="1">
      <alignment horizontal="center" vertical="center"/>
    </xf>
    <xf numFmtId="0" fontId="3" fillId="0" borderId="1" xfId="0" applyFont="1" applyBorder="1" applyAlignment="1">
      <alignment horizontal="center" vertical="center"/>
    </xf>
    <xf numFmtId="178" fontId="3" fillId="0" borderId="1" xfId="0" applyNumberFormat="1" applyFont="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10" fontId="3" fillId="0" borderId="1" xfId="3" applyNumberFormat="1" applyFont="1" applyBorder="1" applyAlignment="1">
      <alignment horizontal="center" vertical="center"/>
    </xf>
    <xf numFmtId="10" fontId="3" fillId="12" borderId="1" xfId="3" applyNumberFormat="1"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78" fontId="3" fillId="12" borderId="1" xfId="0" applyNumberFormat="1" applyFont="1" applyFill="1" applyBorder="1" applyAlignment="1">
      <alignment horizontal="center" vertical="center"/>
    </xf>
    <xf numFmtId="9" fontId="3" fillId="12" borderId="1" xfId="3" applyFont="1" applyFill="1" applyBorder="1" applyAlignment="1">
      <alignment horizontal="center" vertical="center"/>
    </xf>
    <xf numFmtId="0" fontId="3" fillId="12" borderId="1" xfId="0" applyFont="1" applyFill="1" applyBorder="1" applyAlignment="1">
      <alignment horizontal="center" vertical="center"/>
    </xf>
    <xf numFmtId="0" fontId="3" fillId="0" borderId="1" xfId="0" applyFont="1" applyBorder="1" applyAlignment="1">
      <alignment vertical="center"/>
    </xf>
    <xf numFmtId="178" fontId="0" fillId="0" borderId="0" xfId="0" applyNumberFormat="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4" fillId="13" borderId="1" xfId="0" applyFont="1" applyFill="1" applyBorder="1" applyAlignment="1">
      <alignment horizontal="center" vertical="center" wrapText="1"/>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left" vertical="center"/>
    </xf>
    <xf numFmtId="178" fontId="6" fillId="0" borderId="1" xfId="0" applyNumberFormat="1" applyFont="1" applyBorder="1" applyAlignment="1">
      <alignment horizontal="left" vertical="center"/>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178" fontId="7" fillId="0" borderId="2" xfId="0" applyNumberFormat="1" applyFont="1" applyFill="1" applyBorder="1" applyAlignment="1">
      <alignment horizontal="center" vertical="center" wrapText="1"/>
    </xf>
    <xf numFmtId="178" fontId="7" fillId="0" borderId="4" xfId="0" applyNumberFormat="1" applyFont="1" applyFill="1" applyBorder="1" applyAlignment="1">
      <alignment horizontal="center" vertical="center" wrapText="1"/>
    </xf>
    <xf numFmtId="178" fontId="7" fillId="0" borderId="3" xfId="0" applyNumberFormat="1" applyFont="1" applyFill="1" applyBorder="1" applyAlignment="1">
      <alignment horizontal="center" vertical="center" wrapText="1"/>
    </xf>
    <xf numFmtId="0" fontId="6" fillId="5" borderId="1" xfId="0" applyFont="1" applyFill="1" applyBorder="1" applyAlignment="1">
      <alignment horizontal="center" vertical="center"/>
    </xf>
    <xf numFmtId="0" fontId="8" fillId="14"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6" fillId="5" borderId="1" xfId="0" applyFont="1" applyFill="1" applyBorder="1" applyAlignment="1">
      <alignment vertical="center" wrapText="1"/>
    </xf>
    <xf numFmtId="10" fontId="10" fillId="0" borderId="1" xfId="3" applyNumberFormat="1" applyFont="1" applyBorder="1" applyAlignment="1">
      <alignment horizontal="center" vertical="center"/>
    </xf>
    <xf numFmtId="178" fontId="6" fillId="0" borderId="1" xfId="0" applyNumberFormat="1" applyFont="1" applyBorder="1" applyAlignment="1">
      <alignment horizontal="center" vertical="center"/>
    </xf>
    <xf numFmtId="178" fontId="11" fillId="0" borderId="1" xfId="0" applyNumberFormat="1" applyFont="1" applyBorder="1" applyAlignment="1">
      <alignment horizontal="center" vertical="center"/>
    </xf>
    <xf numFmtId="179" fontId="10" fillId="0" borderId="1" xfId="0" applyNumberFormat="1" applyFont="1" applyBorder="1" applyAlignment="1">
      <alignment horizontal="center" vertical="center"/>
    </xf>
    <xf numFmtId="10" fontId="0" fillId="0" borderId="1" xfId="3" applyNumberFormat="1" applyFont="1" applyBorder="1" applyAlignment="1">
      <alignment horizontal="center" vertical="center"/>
    </xf>
    <xf numFmtId="0" fontId="10" fillId="0" borderId="1" xfId="0" applyFont="1" applyBorder="1" applyAlignment="1">
      <alignment horizontal="center" vertical="center"/>
    </xf>
    <xf numFmtId="10" fontId="0" fillId="0" borderId="1" xfId="3" applyNumberFormat="1" applyBorder="1" applyAlignment="1">
      <alignment horizontal="center" vertical="center"/>
    </xf>
    <xf numFmtId="0" fontId="0" fillId="0" borderId="2" xfId="0" applyBorder="1" applyAlignment="1">
      <alignment horizontal="center" vertical="center" wrapText="1"/>
    </xf>
    <xf numFmtId="180" fontId="10" fillId="0" borderId="1" xfId="0" applyNumberFormat="1" applyFont="1" applyBorder="1" applyAlignment="1">
      <alignment horizontal="center" vertical="center"/>
    </xf>
    <xf numFmtId="0" fontId="0" fillId="0" borderId="1" xfId="0" applyFont="1" applyBorder="1" applyAlignment="1">
      <alignment horizontal="center" vertical="center" wrapText="1"/>
    </xf>
    <xf numFmtId="14" fontId="0" fillId="0" borderId="1" xfId="0" applyNumberFormat="1" applyBorder="1" applyAlignment="1">
      <alignment horizontal="left" vertical="center"/>
    </xf>
    <xf numFmtId="0" fontId="0" fillId="0" borderId="1" xfId="0" applyBorder="1" applyAlignment="1">
      <alignment horizontal="left" vertical="center"/>
    </xf>
    <xf numFmtId="0" fontId="0" fillId="0" borderId="1" xfId="0" applyNumberFormat="1" applyBorder="1" applyAlignment="1">
      <alignment horizontal="left"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178" fontId="0" fillId="0" borderId="1" xfId="0" applyNumberFormat="1" applyBorder="1" applyAlignment="1">
      <alignment horizontal="center" vertical="center" wrapText="1"/>
    </xf>
    <xf numFmtId="178"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NumberFormat="1" applyBorder="1" applyAlignment="1">
      <alignment horizontal="center" vertical="center" wrapText="1"/>
    </xf>
    <xf numFmtId="10" fontId="0" fillId="0" borderId="1" xfId="3" applyNumberFormat="1" applyBorder="1" applyAlignment="1">
      <alignment horizontal="center" vertical="center" wrapText="1"/>
    </xf>
    <xf numFmtId="180" fontId="0" fillId="0" borderId="1" xfId="0" applyNumberFormat="1" applyBorder="1" applyAlignment="1">
      <alignment horizontal="center" vertical="center"/>
    </xf>
    <xf numFmtId="179" fontId="0" fillId="0" borderId="1" xfId="0" applyNumberFormat="1" applyBorder="1" applyAlignment="1">
      <alignment horizontal="center" vertical="center"/>
    </xf>
    <xf numFmtId="0" fontId="6" fillId="5" borderId="5" xfId="0" applyFont="1" applyFill="1" applyBorder="1" applyAlignment="1">
      <alignment horizontal="center" vertical="center"/>
    </xf>
    <xf numFmtId="0" fontId="6" fillId="5" borderId="5" xfId="0" applyFont="1" applyFill="1" applyBorder="1" applyAlignment="1">
      <alignment horizontal="center" vertical="center" wrapText="1"/>
    </xf>
    <xf numFmtId="0" fontId="8" fillId="14" borderId="2" xfId="0" applyFont="1" applyFill="1" applyBorder="1" applyAlignment="1">
      <alignment horizontal="center" vertical="center" wrapText="1"/>
    </xf>
    <xf numFmtId="0" fontId="8" fillId="14" borderId="3" xfId="0" applyFont="1" applyFill="1" applyBorder="1" applyAlignment="1">
      <alignment horizontal="center" vertical="center" wrapText="1"/>
    </xf>
    <xf numFmtId="0" fontId="6" fillId="5" borderId="6" xfId="0" applyFont="1" applyFill="1" applyBorder="1" applyAlignment="1">
      <alignment horizontal="center" vertical="center"/>
    </xf>
    <xf numFmtId="0" fontId="6" fillId="5" borderId="6" xfId="0" applyFont="1" applyFill="1" applyBorder="1" applyAlignment="1">
      <alignment horizontal="center" vertical="center" wrapText="1"/>
    </xf>
    <xf numFmtId="180" fontId="0" fillId="0" borderId="1" xfId="0" applyNumberFormat="1" applyBorder="1" applyAlignment="1">
      <alignment horizontal="center" vertical="center" wrapText="1"/>
    </xf>
    <xf numFmtId="178" fontId="1" fillId="0" borderId="1" xfId="0" applyNumberFormat="1" applyFont="1" applyBorder="1" applyAlignment="1">
      <alignment horizontal="center" vertical="center" wrapText="1"/>
    </xf>
    <xf numFmtId="178" fontId="12" fillId="0" borderId="2" xfId="0" applyNumberFormat="1" applyFont="1" applyBorder="1" applyAlignment="1">
      <alignment horizontal="center" vertical="center"/>
    </xf>
    <xf numFmtId="178" fontId="12" fillId="0" borderId="3" xfId="0" applyNumberFormat="1" applyFont="1" applyBorder="1" applyAlignment="1">
      <alignment horizontal="center" vertical="center"/>
    </xf>
    <xf numFmtId="0" fontId="6" fillId="5" borderId="7" xfId="0" applyFont="1" applyFill="1" applyBorder="1" applyAlignment="1">
      <alignment horizontal="center" vertical="center" wrapText="1"/>
    </xf>
    <xf numFmtId="10" fontId="7" fillId="0" borderId="1" xfId="3" applyNumberFormat="1" applyFont="1" applyFill="1" applyBorder="1" applyAlignment="1">
      <alignment horizontal="center" vertical="center" wrapText="1"/>
    </xf>
    <xf numFmtId="178" fontId="7" fillId="0" borderId="1" xfId="3" applyNumberFormat="1" applyFont="1" applyFill="1" applyBorder="1" applyAlignment="1">
      <alignment horizontal="center" vertical="center" wrapText="1"/>
    </xf>
    <xf numFmtId="179" fontId="0" fillId="0" borderId="1" xfId="0" applyNumberFormat="1" applyBorder="1" applyAlignment="1">
      <alignment horizontal="center" vertical="center" wrapText="1"/>
    </xf>
    <xf numFmtId="0" fontId="6" fillId="5" borderId="7" xfId="0" applyFont="1" applyFill="1" applyBorder="1" applyAlignment="1">
      <alignment horizontal="center" vertical="center"/>
    </xf>
    <xf numFmtId="0" fontId="10" fillId="0" borderId="1" xfId="0" applyFont="1" applyBorder="1" applyAlignment="1">
      <alignment horizontal="left" vertical="center" wrapText="1"/>
    </xf>
    <xf numFmtId="0" fontId="10" fillId="0" borderId="1" xfId="0" applyFont="1" applyBorder="1" applyAlignment="1">
      <alignment horizontal="left" vertical="top" wrapText="1"/>
    </xf>
    <xf numFmtId="0" fontId="0" fillId="0" borderId="1" xfId="0" applyBorder="1" applyAlignment="1">
      <alignment horizontal="left" vertical="top"/>
    </xf>
    <xf numFmtId="0" fontId="0" fillId="0" borderId="0" xfId="0" applyAlignment="1">
      <alignment horizontal="center" vertical="center" wrapText="1"/>
    </xf>
    <xf numFmtId="0" fontId="13" fillId="0" borderId="0" xfId="0" applyFont="1" applyAlignment="1">
      <alignment vertical="center" wrapText="1"/>
    </xf>
    <xf numFmtId="0" fontId="0" fillId="11" borderId="0" xfId="0" applyFill="1">
      <alignment vertical="center"/>
    </xf>
    <xf numFmtId="0" fontId="0" fillId="3" borderId="0" xfId="0" applyFill="1">
      <alignment vertical="center"/>
    </xf>
    <xf numFmtId="178" fontId="0" fillId="0" borderId="0" xfId="0" applyNumberFormat="1">
      <alignment vertical="center"/>
    </xf>
    <xf numFmtId="0" fontId="14" fillId="14" borderId="1" xfId="0" applyFont="1" applyFill="1" applyBorder="1" applyAlignment="1">
      <alignment horizontal="center" vertical="center" wrapText="1"/>
    </xf>
    <xf numFmtId="178" fontId="14" fillId="14" borderId="1" xfId="0" applyNumberFormat="1" applyFont="1" applyFill="1" applyBorder="1" applyAlignment="1">
      <alignment horizontal="center" vertical="center" wrapText="1"/>
    </xf>
    <xf numFmtId="0" fontId="15" fillId="0" borderId="0" xfId="0" applyFont="1" applyFill="1" applyAlignment="1"/>
    <xf numFmtId="178" fontId="15" fillId="0" borderId="0" xfId="0" applyNumberFormat="1" applyFont="1" applyFill="1" applyAlignment="1">
      <alignment horizontal="center"/>
    </xf>
    <xf numFmtId="178" fontId="15" fillId="0" borderId="0" xfId="0" applyNumberFormat="1" applyFont="1" applyFill="1" applyAlignment="1"/>
    <xf numFmtId="10" fontId="15" fillId="0" borderId="0" xfId="0" applyNumberFormat="1" applyFont="1" applyFill="1" applyAlignment="1"/>
    <xf numFmtId="0" fontId="15" fillId="0" borderId="0" xfId="0" applyNumberFormat="1" applyFont="1" applyFill="1" applyAlignment="1"/>
    <xf numFmtId="3" fontId="15" fillId="0" borderId="0" xfId="0" applyNumberFormat="1" applyFont="1" applyFill="1" applyAlignment="1"/>
    <xf numFmtId="0" fontId="0" fillId="0" borderId="0" xfId="0" applyNumberFormat="1">
      <alignment vertical="center"/>
    </xf>
    <xf numFmtId="10" fontId="0" fillId="0" borderId="0" xfId="0" applyNumberFormat="1" applyAlignment="1">
      <alignment horizontal="center" vertical="center"/>
    </xf>
    <xf numFmtId="14" fontId="15" fillId="0" borderId="0" xfId="0" applyNumberFormat="1" applyFont="1" applyFill="1" applyAlignment="1"/>
    <xf numFmtId="180" fontId="0" fillId="0" borderId="0" xfId="0" applyNumberFormat="1">
      <alignment vertical="center"/>
    </xf>
    <xf numFmtId="179" fontId="0" fillId="0" borderId="0" xfId="0" applyNumberFormat="1">
      <alignment vertical="center"/>
    </xf>
    <xf numFmtId="179" fontId="0" fillId="0" borderId="0" xfId="0" applyNumberFormat="1" applyAlignment="1">
      <alignment horizontal="center" vertical="center"/>
    </xf>
    <xf numFmtId="10" fontId="0" fillId="0" borderId="0" xfId="3" applyNumberFormat="1" applyAlignment="1">
      <alignment horizontal="center" vertical="center"/>
    </xf>
    <xf numFmtId="10" fontId="0" fillId="0" borderId="0" xfId="3" applyNumberFormat="1">
      <alignment vertical="center"/>
    </xf>
    <xf numFmtId="0" fontId="15" fillId="11" borderId="0" xfId="0" applyFont="1" applyFill="1" applyAlignment="1"/>
    <xf numFmtId="14" fontId="15" fillId="11" borderId="0" xfId="0" applyNumberFormat="1" applyFont="1" applyFill="1" applyAlignment="1"/>
    <xf numFmtId="178" fontId="15" fillId="11" borderId="0" xfId="0" applyNumberFormat="1" applyFont="1" applyFill="1" applyAlignment="1">
      <alignment horizontal="center"/>
    </xf>
    <xf numFmtId="178" fontId="15" fillId="11" borderId="0" xfId="0" applyNumberFormat="1" applyFont="1" applyFill="1" applyAlignment="1"/>
    <xf numFmtId="10" fontId="15" fillId="11" borderId="0" xfId="0" applyNumberFormat="1" applyFont="1" applyFill="1" applyAlignment="1"/>
    <xf numFmtId="0" fontId="15" fillId="11" borderId="0" xfId="0" applyNumberFormat="1" applyFont="1" applyFill="1" applyAlignment="1"/>
    <xf numFmtId="3" fontId="15" fillId="11" borderId="0" xfId="0" applyNumberFormat="1" applyFont="1" applyFill="1" applyAlignment="1"/>
    <xf numFmtId="180" fontId="0" fillId="11" borderId="0" xfId="0" applyNumberFormat="1" applyFill="1">
      <alignment vertical="center"/>
    </xf>
    <xf numFmtId="179" fontId="0" fillId="11" borderId="0" xfId="0" applyNumberFormat="1" applyFill="1">
      <alignment vertical="center"/>
    </xf>
    <xf numFmtId="179" fontId="0" fillId="11" borderId="0" xfId="0" applyNumberFormat="1" applyFill="1" applyAlignment="1">
      <alignment horizontal="center" vertical="center"/>
    </xf>
    <xf numFmtId="10" fontId="0" fillId="11" borderId="0" xfId="3" applyNumberFormat="1" applyFill="1" applyAlignment="1">
      <alignment horizontal="center" vertical="center"/>
    </xf>
    <xf numFmtId="10" fontId="0" fillId="11" borderId="0" xfId="3" applyNumberFormat="1" applyFill="1">
      <alignment vertical="center"/>
    </xf>
    <xf numFmtId="9" fontId="0" fillId="11" borderId="0" xfId="3" applyFill="1" applyAlignment="1">
      <alignment horizontal="center" vertical="center"/>
    </xf>
    <xf numFmtId="0" fontId="15" fillId="3" borderId="0" xfId="0" applyFont="1" applyFill="1" applyAlignment="1"/>
    <xf numFmtId="14" fontId="15" fillId="3" borderId="0" xfId="0" applyNumberFormat="1" applyFont="1" applyFill="1" applyAlignment="1"/>
    <xf numFmtId="178" fontId="15" fillId="3" borderId="0" xfId="0" applyNumberFormat="1" applyFont="1" applyFill="1" applyAlignment="1">
      <alignment horizontal="center"/>
    </xf>
    <xf numFmtId="178" fontId="15" fillId="3" borderId="0" xfId="0" applyNumberFormat="1" applyFont="1" applyFill="1" applyAlignment="1"/>
    <xf numFmtId="10" fontId="15" fillId="3" borderId="0" xfId="0" applyNumberFormat="1" applyFont="1" applyFill="1" applyAlignment="1"/>
    <xf numFmtId="0" fontId="15" fillId="3" borderId="0" xfId="0" applyNumberFormat="1" applyFont="1" applyFill="1" applyAlignment="1"/>
    <xf numFmtId="3" fontId="15" fillId="3" borderId="0" xfId="0" applyNumberFormat="1" applyFont="1" applyFill="1" applyAlignment="1"/>
    <xf numFmtId="0" fontId="0" fillId="3" borderId="0" xfId="0" applyFill="1" applyAlignment="1">
      <alignment horizontal="center" vertical="center"/>
    </xf>
    <xf numFmtId="10" fontId="0" fillId="3" borderId="0" xfId="3" applyNumberFormat="1" applyFill="1" applyAlignment="1">
      <alignment horizontal="center" vertical="center"/>
    </xf>
    <xf numFmtId="0" fontId="0" fillId="0" borderId="0" xfId="0" applyBorder="1">
      <alignment vertical="center"/>
    </xf>
    <xf numFmtId="0" fontId="16" fillId="0" borderId="0" xfId="0" applyFont="1" applyFill="1" applyAlignment="1">
      <alignment vertical="center"/>
    </xf>
    <xf numFmtId="0" fontId="16" fillId="0" borderId="0" xfId="0" applyFont="1" applyFill="1" applyBorder="1" applyAlignment="1">
      <alignment vertical="center"/>
    </xf>
    <xf numFmtId="14" fontId="17" fillId="0" borderId="1" xfId="0" applyNumberFormat="1" applyFont="1" applyFill="1" applyBorder="1" applyAlignment="1">
      <alignment horizontal="center" vertical="center"/>
    </xf>
    <xf numFmtId="0" fontId="17" fillId="0" borderId="1" xfId="0" applyFont="1" applyFill="1" applyBorder="1" applyAlignment="1">
      <alignment horizontal="center" vertical="center"/>
    </xf>
    <xf numFmtId="0" fontId="18" fillId="0" borderId="1" xfId="0" applyFont="1" applyFill="1" applyBorder="1" applyAlignment="1">
      <alignment horizontal="left" vertical="top" wrapText="1"/>
    </xf>
    <xf numFmtId="0" fontId="18" fillId="0" borderId="1" xfId="0" applyFont="1" applyFill="1" applyBorder="1" applyAlignment="1">
      <alignment horizontal="left" vertical="top"/>
    </xf>
    <xf numFmtId="58" fontId="19" fillId="0" borderId="1" xfId="0" applyNumberFormat="1" applyFont="1" applyFill="1" applyBorder="1" applyAlignment="1">
      <alignment horizontal="left" vertical="center" wrapText="1"/>
    </xf>
    <xf numFmtId="178" fontId="20" fillId="0" borderId="1" xfId="0" applyNumberFormat="1" applyFont="1" applyFill="1" applyBorder="1" applyAlignment="1">
      <alignment horizontal="left" vertical="center"/>
    </xf>
    <xf numFmtId="178" fontId="21" fillId="0" borderId="1" xfId="0" applyNumberFormat="1" applyFont="1" applyFill="1" applyBorder="1" applyAlignment="1">
      <alignment horizontal="left" vertical="center" wrapText="1"/>
    </xf>
    <xf numFmtId="0" fontId="20" fillId="0" borderId="1" xfId="0" applyFont="1" applyFill="1" applyBorder="1" applyAlignment="1">
      <alignment horizontal="left" vertical="center"/>
    </xf>
    <xf numFmtId="0" fontId="22" fillId="0" borderId="1" xfId="0" applyNumberFormat="1" applyFont="1" applyFill="1" applyBorder="1" applyAlignment="1">
      <alignment horizontal="center" vertical="center"/>
    </xf>
    <xf numFmtId="0" fontId="8" fillId="15" borderId="1" xfId="0" applyFont="1" applyFill="1" applyBorder="1" applyAlignment="1">
      <alignment horizontal="center" vertical="center" wrapText="1"/>
    </xf>
    <xf numFmtId="179" fontId="3"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10" fontId="23" fillId="0" borderId="1" xfId="3" applyNumberFormat="1" applyFont="1" applyFill="1" applyBorder="1" applyAlignment="1">
      <alignment horizontal="center" vertical="center" wrapText="1"/>
    </xf>
    <xf numFmtId="179" fontId="23" fillId="0" borderId="1" xfId="3" applyNumberFormat="1" applyFont="1" applyFill="1" applyBorder="1" applyAlignment="1">
      <alignment horizontal="center" vertical="center" wrapText="1"/>
    </xf>
    <xf numFmtId="179" fontId="24" fillId="0" borderId="8" xfId="0" applyNumberFormat="1" applyFont="1" applyFill="1" applyBorder="1" applyAlignment="1">
      <alignment horizontal="center" vertical="center" wrapText="1"/>
    </xf>
    <xf numFmtId="179" fontId="24" fillId="0" borderId="9" xfId="0" applyNumberFormat="1" applyFont="1" applyFill="1" applyBorder="1" applyAlignment="1">
      <alignment horizontal="center" vertical="center" wrapText="1"/>
    </xf>
    <xf numFmtId="179" fontId="24" fillId="0" borderId="10" xfId="0" applyNumberFormat="1" applyFont="1" applyFill="1" applyBorder="1" applyAlignment="1">
      <alignment horizontal="center" vertical="center" wrapText="1"/>
    </xf>
    <xf numFmtId="179" fontId="24" fillId="0" borderId="11" xfId="0" applyNumberFormat="1" applyFont="1" applyFill="1" applyBorder="1" applyAlignment="1">
      <alignment horizontal="center" vertical="center" wrapText="1"/>
    </xf>
    <xf numFmtId="178" fontId="23" fillId="0" borderId="1" xfId="3" applyNumberFormat="1" applyFont="1" applyFill="1" applyBorder="1" applyAlignment="1">
      <alignment horizontal="center" vertical="center" wrapText="1"/>
    </xf>
    <xf numFmtId="0" fontId="23" fillId="0" borderId="1" xfId="3" applyNumberFormat="1" applyFont="1" applyFill="1" applyBorder="1" applyAlignment="1">
      <alignment horizontal="center" vertical="center" wrapText="1"/>
    </xf>
    <xf numFmtId="179" fontId="24" fillId="0" borderId="12" xfId="0" applyNumberFormat="1" applyFont="1" applyFill="1" applyBorder="1" applyAlignment="1">
      <alignment horizontal="center" vertical="center" wrapText="1"/>
    </xf>
    <xf numFmtId="179" fontId="24" fillId="0" borderId="13" xfId="0" applyNumberFormat="1" applyFont="1" applyFill="1" applyBorder="1" applyAlignment="1">
      <alignment horizontal="center" vertical="center" wrapText="1"/>
    </xf>
    <xf numFmtId="0" fontId="8" fillId="15" borderId="1" xfId="0" applyFont="1" applyFill="1" applyBorder="1" applyAlignment="1">
      <alignment horizontal="center" vertical="center"/>
    </xf>
    <xf numFmtId="9" fontId="23" fillId="0" borderId="1" xfId="3" applyFont="1" applyFill="1" applyBorder="1" applyAlignment="1">
      <alignment horizontal="center" vertical="center"/>
    </xf>
    <xf numFmtId="178" fontId="3" fillId="0" borderId="1" xfId="0" applyNumberFormat="1" applyFont="1" applyFill="1" applyBorder="1" applyAlignment="1">
      <alignment horizontal="center" vertical="center"/>
    </xf>
    <xf numFmtId="181" fontId="3" fillId="0" borderId="1" xfId="3" applyNumberFormat="1" applyFont="1" applyBorder="1" applyAlignment="1">
      <alignment horizontal="center" vertical="center"/>
    </xf>
    <xf numFmtId="0" fontId="25" fillId="14" borderId="1" xfId="0" applyFont="1" applyFill="1" applyBorder="1" applyAlignment="1">
      <alignment horizontal="center" vertical="center" wrapText="1"/>
    </xf>
    <xf numFmtId="179" fontId="18"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9" fontId="18" fillId="0" borderId="1" xfId="3" applyFont="1" applyFill="1" applyBorder="1" applyAlignment="1">
      <alignment horizontal="center" vertical="center"/>
    </xf>
    <xf numFmtId="182" fontId="18" fillId="0" borderId="1" xfId="0" applyNumberFormat="1" applyFont="1" applyFill="1" applyBorder="1" applyAlignment="1">
      <alignment horizontal="center" vertical="center"/>
    </xf>
    <xf numFmtId="182" fontId="18" fillId="0" borderId="5" xfId="0" applyNumberFormat="1" applyFont="1" applyFill="1" applyBorder="1" applyAlignment="1">
      <alignment horizontal="center" vertical="center"/>
    </xf>
    <xf numFmtId="182" fontId="18" fillId="0" borderId="6" xfId="0" applyNumberFormat="1" applyFont="1" applyFill="1" applyBorder="1" applyAlignment="1">
      <alignment horizontal="center" vertical="center"/>
    </xf>
    <xf numFmtId="182" fontId="18" fillId="0" borderId="7" xfId="0" applyNumberFormat="1" applyFont="1" applyFill="1" applyBorder="1" applyAlignment="1">
      <alignment horizontal="center" vertical="center"/>
    </xf>
    <xf numFmtId="0" fontId="7" fillId="0" borderId="0" xfId="0" applyFont="1" applyFill="1" applyBorder="1" applyAlignment="1">
      <alignment vertical="center"/>
    </xf>
    <xf numFmtId="0" fontId="23"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23" fillId="0" borderId="1" xfId="0" applyFont="1" applyFill="1" applyBorder="1" applyAlignment="1">
      <alignment horizontal="center" vertical="center" wrapText="1"/>
    </xf>
    <xf numFmtId="9" fontId="23" fillId="0" borderId="2" xfId="3" applyFont="1" applyFill="1" applyBorder="1" applyAlignment="1">
      <alignment horizontal="center" vertical="center" wrapText="1"/>
    </xf>
    <xf numFmtId="9" fontId="23" fillId="0" borderId="3" xfId="3" applyFont="1" applyFill="1" applyBorder="1" applyAlignment="1">
      <alignment horizontal="center" vertical="center" wrapText="1"/>
    </xf>
    <xf numFmtId="0" fontId="7" fillId="14" borderId="1" xfId="0" applyFont="1" applyFill="1" applyBorder="1" applyAlignment="1">
      <alignment horizontal="center" vertical="center" wrapText="1"/>
    </xf>
    <xf numFmtId="178" fontId="23" fillId="0" borderId="1" xfId="0" applyNumberFormat="1" applyFont="1" applyFill="1" applyBorder="1" applyAlignment="1">
      <alignment horizontal="center" vertical="center" wrapText="1"/>
    </xf>
    <xf numFmtId="178" fontId="23" fillId="0" borderId="1" xfId="0" applyNumberFormat="1" applyFont="1" applyFill="1" applyBorder="1" applyAlignment="1">
      <alignment horizontal="center" vertical="center"/>
    </xf>
    <xf numFmtId="1" fontId="16" fillId="0" borderId="0" xfId="0" applyNumberFormat="1" applyFont="1" applyFill="1" applyBorder="1" applyAlignment="1">
      <alignment vertical="center"/>
    </xf>
    <xf numFmtId="0" fontId="18" fillId="0" borderId="0" xfId="0" applyFont="1" applyFill="1" applyBorder="1" applyAlignment="1">
      <alignment horizontal="center" vertical="center"/>
    </xf>
    <xf numFmtId="178" fontId="18" fillId="16" borderId="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xf>
    <xf numFmtId="0" fontId="18" fillId="0" borderId="0" xfId="0" applyFont="1" applyBorder="1" applyAlignment="1">
      <alignment horizontal="center" vertical="center"/>
    </xf>
    <xf numFmtId="0" fontId="7" fillId="0" borderId="2"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3" xfId="0" applyFont="1" applyFill="1" applyBorder="1" applyAlignment="1">
      <alignment horizontal="center" vertical="center"/>
    </xf>
    <xf numFmtId="0" fontId="8" fillId="14" borderId="1" xfId="0" applyFont="1" applyFill="1" applyBorder="1" applyAlignment="1">
      <alignment horizontal="center" vertical="center"/>
    </xf>
    <xf numFmtId="178" fontId="8" fillId="14" borderId="1" xfId="0" applyNumberFormat="1" applyFont="1" applyFill="1" applyBorder="1" applyAlignment="1">
      <alignment horizontal="center" vertical="center"/>
    </xf>
    <xf numFmtId="58" fontId="14" fillId="15" borderId="1" xfId="0" applyNumberFormat="1" applyFont="1" applyFill="1" applyBorder="1" applyAlignment="1">
      <alignment horizontal="center" vertical="center"/>
    </xf>
    <xf numFmtId="10" fontId="18" fillId="0" borderId="1" xfId="0" applyNumberFormat="1" applyFont="1" applyFill="1" applyBorder="1" applyAlignment="1">
      <alignment horizontal="center" vertical="center"/>
    </xf>
    <xf numFmtId="0" fontId="26" fillId="0" borderId="1" xfId="0" applyFont="1" applyBorder="1">
      <alignment vertical="center"/>
    </xf>
    <xf numFmtId="0" fontId="27" fillId="0" borderId="1" xfId="0" applyFont="1" applyBorder="1">
      <alignment vertical="center"/>
    </xf>
    <xf numFmtId="0" fontId="0" fillId="0" borderId="1" xfId="0" applyBorder="1">
      <alignment vertical="center"/>
    </xf>
    <xf numFmtId="0" fontId="27" fillId="0" borderId="1" xfId="0" applyFont="1" applyBorder="1" applyAlignment="1">
      <alignment vertical="center" wrapText="1"/>
    </xf>
    <xf numFmtId="0" fontId="26" fillId="0" borderId="1" xfId="0" applyFont="1" applyBorder="1" applyAlignment="1">
      <alignment vertical="center" wrapText="1"/>
    </xf>
    <xf numFmtId="0" fontId="0" fillId="0" borderId="14" xfId="0" applyBorder="1">
      <alignment vertical="center"/>
    </xf>
    <xf numFmtId="0" fontId="0" fillId="0" borderId="15" xfId="0" applyBorder="1">
      <alignment vertical="center"/>
    </xf>
    <xf numFmtId="0" fontId="0" fillId="17" borderId="0" xfId="0" applyFill="1" applyBorder="1">
      <alignment vertical="center"/>
    </xf>
    <xf numFmtId="178" fontId="0" fillId="0" borderId="0" xfId="0" applyNumberFormat="1" applyBorder="1">
      <alignment vertical="center"/>
    </xf>
    <xf numFmtId="0" fontId="0" fillId="0" borderId="0" xfId="0" applyBorder="1" applyAlignment="1">
      <alignment horizontal="center" vertical="center"/>
    </xf>
    <xf numFmtId="178" fontId="0" fillId="0" borderId="0" xfId="0" applyNumberFormat="1" applyBorder="1" applyAlignment="1">
      <alignment horizontal="center" vertical="center"/>
    </xf>
    <xf numFmtId="183" fontId="0" fillId="0" borderId="0" xfId="0" applyNumberFormat="1" applyBorder="1" applyAlignment="1">
      <alignment horizontal="center" vertical="center"/>
    </xf>
    <xf numFmtId="9" fontId="0" fillId="0" borderId="0" xfId="3" applyBorder="1" applyAlignment="1">
      <alignment horizontal="center" vertical="center"/>
    </xf>
    <xf numFmtId="0" fontId="28" fillId="0" borderId="10" xfId="0" applyFont="1" applyFill="1" applyBorder="1" applyAlignment="1">
      <alignment horizontal="center" vertical="center"/>
    </xf>
    <xf numFmtId="178" fontId="28" fillId="0" borderId="0" xfId="0" applyNumberFormat="1" applyFont="1" applyFill="1" applyAlignment="1">
      <alignment horizontal="center" vertical="center"/>
    </xf>
    <xf numFmtId="0" fontId="28" fillId="0" borderId="0" xfId="0" applyFont="1" applyFill="1" applyAlignment="1">
      <alignment horizontal="center" vertical="center"/>
    </xf>
    <xf numFmtId="183" fontId="28" fillId="0" borderId="0" xfId="0" applyNumberFormat="1" applyFont="1" applyFill="1" applyAlignment="1">
      <alignment horizontal="center" vertical="center"/>
    </xf>
    <xf numFmtId="9" fontId="28" fillId="0" borderId="0" xfId="3" applyFont="1" applyFill="1" applyAlignment="1">
      <alignment horizontal="center" vertical="center"/>
    </xf>
    <xf numFmtId="0" fontId="14" fillId="14" borderId="16" xfId="0" applyFont="1" applyFill="1" applyBorder="1" applyAlignment="1">
      <alignment horizontal="center" vertical="center" wrapText="1"/>
    </xf>
    <xf numFmtId="178" fontId="14" fillId="14" borderId="16" xfId="0" applyNumberFormat="1" applyFont="1" applyFill="1" applyBorder="1" applyAlignment="1">
      <alignment horizontal="center" vertical="center" wrapText="1"/>
    </xf>
    <xf numFmtId="178" fontId="14" fillId="14" borderId="17" xfId="0" applyNumberFormat="1" applyFont="1" applyFill="1" applyBorder="1" applyAlignment="1">
      <alignment horizontal="center" vertical="center" wrapText="1"/>
    </xf>
    <xf numFmtId="0" fontId="14" fillId="14" borderId="17" xfId="0" applyFont="1" applyFill="1" applyBorder="1" applyAlignment="1">
      <alignment horizontal="center" vertical="center" wrapText="1"/>
    </xf>
    <xf numFmtId="183" fontId="14" fillId="14" borderId="17" xfId="0" applyNumberFormat="1" applyFont="1" applyFill="1" applyBorder="1" applyAlignment="1">
      <alignment horizontal="center" vertical="center" wrapText="1"/>
    </xf>
    <xf numFmtId="9" fontId="14" fillId="14" borderId="17" xfId="3" applyFont="1" applyFill="1" applyBorder="1" applyAlignment="1">
      <alignment horizontal="center" vertical="center" wrapText="1"/>
    </xf>
    <xf numFmtId="0" fontId="14" fillId="14" borderId="18" xfId="0" applyFont="1" applyFill="1" applyBorder="1" applyAlignment="1">
      <alignment horizontal="center" vertical="center" wrapText="1"/>
    </xf>
    <xf numFmtId="0" fontId="14" fillId="14" borderId="19" xfId="0" applyFont="1" applyFill="1" applyBorder="1" applyAlignment="1">
      <alignment horizontal="center" vertical="center" wrapText="1"/>
    </xf>
    <xf numFmtId="183" fontId="14" fillId="14" borderId="20" xfId="0" applyNumberFormat="1" applyFont="1" applyFill="1" applyBorder="1" applyAlignment="1">
      <alignment horizontal="center" vertical="center" wrapText="1"/>
    </xf>
    <xf numFmtId="183" fontId="14" fillId="14" borderId="19" xfId="0" applyNumberFormat="1" applyFont="1" applyFill="1" applyBorder="1" applyAlignment="1">
      <alignment horizontal="center" vertical="center" wrapText="1"/>
    </xf>
    <xf numFmtId="183" fontId="14" fillId="14" borderId="21" xfId="0" applyNumberFormat="1" applyFont="1" applyFill="1" applyBorder="1" applyAlignment="1">
      <alignment horizontal="center" vertical="center" wrapText="1"/>
    </xf>
    <xf numFmtId="0" fontId="14" fillId="14" borderId="22" xfId="0" applyFont="1" applyFill="1" applyBorder="1" applyAlignment="1">
      <alignment horizontal="center" vertical="center" wrapText="1"/>
    </xf>
    <xf numFmtId="178" fontId="14" fillId="14" borderId="23" xfId="0" applyNumberFormat="1" applyFont="1" applyFill="1" applyBorder="1" applyAlignment="1">
      <alignment horizontal="center" vertical="center" wrapText="1"/>
    </xf>
    <xf numFmtId="178" fontId="14" fillId="14" borderId="24" xfId="0" applyNumberFormat="1" applyFont="1" applyFill="1" applyBorder="1" applyAlignment="1">
      <alignment horizontal="center" vertical="center" wrapText="1"/>
    </xf>
    <xf numFmtId="0" fontId="14" fillId="14" borderId="24" xfId="0" applyFont="1" applyFill="1" applyBorder="1" applyAlignment="1">
      <alignment horizontal="center" vertical="center" wrapText="1"/>
    </xf>
    <xf numFmtId="183" fontId="14" fillId="18" borderId="25" xfId="0" applyNumberFormat="1" applyFont="1" applyFill="1" applyBorder="1" applyAlignment="1">
      <alignment horizontal="center" vertical="center" wrapText="1"/>
    </xf>
    <xf numFmtId="9" fontId="14" fillId="18" borderId="25" xfId="3" applyFont="1" applyFill="1" applyBorder="1" applyAlignment="1">
      <alignment horizontal="center" vertical="center" wrapText="1"/>
    </xf>
    <xf numFmtId="0" fontId="14" fillId="14" borderId="23" xfId="0" applyFont="1" applyFill="1" applyBorder="1" applyAlignment="1">
      <alignment horizontal="center" vertical="center" wrapText="1"/>
    </xf>
    <xf numFmtId="183" fontId="14" fillId="14" borderId="25" xfId="0" applyNumberFormat="1" applyFont="1" applyFill="1" applyBorder="1" applyAlignment="1">
      <alignment horizontal="center" vertical="center" wrapText="1"/>
    </xf>
    <xf numFmtId="183" fontId="14" fillId="14" borderId="24" xfId="0" applyNumberFormat="1" applyFont="1" applyFill="1" applyBorder="1" applyAlignment="1">
      <alignment horizontal="center" vertical="center" wrapText="1"/>
    </xf>
    <xf numFmtId="183" fontId="14" fillId="14" borderId="25" xfId="0" applyNumberFormat="1" applyFont="1" applyFill="1" applyBorder="1" applyAlignment="1">
      <alignment horizontal="center" vertical="center"/>
    </xf>
    <xf numFmtId="183" fontId="14" fillId="14" borderId="26" xfId="0" applyNumberFormat="1" applyFont="1" applyFill="1" applyBorder="1" applyAlignment="1">
      <alignment horizontal="center" vertical="center"/>
    </xf>
    <xf numFmtId="58" fontId="14" fillId="15" borderId="0" xfId="0" applyNumberFormat="1" applyFont="1" applyFill="1" applyBorder="1" applyAlignment="1">
      <alignment horizontal="center" vertical="center"/>
    </xf>
    <xf numFmtId="178" fontId="15" fillId="0" borderId="0" xfId="0" applyNumberFormat="1" applyFont="1" applyFill="1" applyAlignment="1">
      <alignment horizontal="center" vertical="center"/>
    </xf>
    <xf numFmtId="10" fontId="29" fillId="0" borderId="0" xfId="0" applyNumberFormat="1" applyFont="1" applyFill="1" applyAlignment="1">
      <alignment horizontal="center" vertical="center"/>
    </xf>
    <xf numFmtId="0" fontId="29" fillId="0" borderId="0" xfId="0" applyNumberFormat="1" applyFont="1" applyFill="1" applyAlignment="1">
      <alignment horizontal="center" vertical="center"/>
    </xf>
    <xf numFmtId="0" fontId="15" fillId="0" borderId="0" xfId="0" applyNumberFormat="1" applyFont="1" applyFill="1" applyAlignment="1">
      <alignment horizontal="center" vertical="center"/>
    </xf>
    <xf numFmtId="10" fontId="15" fillId="0" borderId="0" xfId="0" applyNumberFormat="1" applyFont="1" applyFill="1" applyAlignment="1">
      <alignment horizontal="center" vertical="center"/>
    </xf>
    <xf numFmtId="184" fontId="0" fillId="0" borderId="0" xfId="0" applyNumberFormat="1" applyBorder="1" applyAlignment="1">
      <alignment horizontal="center" vertical="center"/>
    </xf>
    <xf numFmtId="183" fontId="30" fillId="0" borderId="0" xfId="0" applyNumberFormat="1" applyFont="1" applyBorder="1" applyAlignment="1">
      <alignment horizontal="center" vertical="center"/>
    </xf>
    <xf numFmtId="185" fontId="30" fillId="0" borderId="0" xfId="0" applyNumberFormat="1" applyFont="1" applyBorder="1" applyAlignment="1">
      <alignment horizontal="center" vertical="center"/>
    </xf>
    <xf numFmtId="179" fontId="0" fillId="0" borderId="0" xfId="0" applyNumberFormat="1" applyBorder="1" applyAlignment="1">
      <alignment horizontal="center" vertical="center"/>
    </xf>
    <xf numFmtId="9" fontId="30" fillId="0" borderId="0" xfId="3" applyFont="1" applyBorder="1" applyAlignment="1">
      <alignment horizontal="center" vertical="center"/>
    </xf>
    <xf numFmtId="4" fontId="15" fillId="0" borderId="0" xfId="0" applyNumberFormat="1" applyFont="1" applyFill="1" applyAlignment="1">
      <alignment horizontal="center" vertical="center"/>
    </xf>
    <xf numFmtId="0" fontId="0" fillId="0" borderId="0" xfId="0" applyNumberFormat="1" applyBorder="1" applyAlignment="1">
      <alignment horizontal="center" vertical="center"/>
    </xf>
    <xf numFmtId="10" fontId="29" fillId="0" borderId="0" xfId="0" applyNumberFormat="1" applyFont="1" applyFill="1" applyAlignment="1">
      <alignment horizontal="center"/>
    </xf>
    <xf numFmtId="0" fontId="29" fillId="0" borderId="0" xfId="0" applyNumberFormat="1" applyFont="1" applyFill="1" applyAlignment="1">
      <alignment horizontal="center"/>
    </xf>
    <xf numFmtId="0" fontId="15" fillId="0" borderId="0" xfId="0" applyNumberFormat="1" applyFont="1" applyFill="1" applyAlignment="1">
      <alignment horizontal="center"/>
    </xf>
    <xf numFmtId="10" fontId="15" fillId="0" borderId="0" xfId="0" applyNumberFormat="1" applyFont="1" applyFill="1" applyAlignment="1">
      <alignment horizontal="center"/>
    </xf>
    <xf numFmtId="4" fontId="15" fillId="0" borderId="0" xfId="0" applyNumberFormat="1" applyFont="1" applyFill="1" applyAlignment="1">
      <alignment horizontal="center"/>
    </xf>
    <xf numFmtId="3" fontId="15" fillId="0" borderId="0" xfId="0" applyNumberFormat="1" applyFont="1" applyFill="1" applyAlignment="1">
      <alignment horizontal="center"/>
    </xf>
    <xf numFmtId="58" fontId="14" fillId="17" borderId="0" xfId="0" applyNumberFormat="1" applyFont="1" applyFill="1" applyBorder="1" applyAlignment="1">
      <alignment horizontal="center" vertical="center"/>
    </xf>
    <xf numFmtId="178" fontId="15" fillId="17" borderId="0" xfId="0" applyNumberFormat="1" applyFont="1" applyFill="1" applyAlignment="1">
      <alignment horizontal="center"/>
    </xf>
    <xf numFmtId="10" fontId="29" fillId="17" borderId="0" xfId="0" applyNumberFormat="1" applyFont="1" applyFill="1" applyAlignment="1">
      <alignment horizontal="center"/>
    </xf>
    <xf numFmtId="0" fontId="29" fillId="17" borderId="0" xfId="0" applyNumberFormat="1" applyFont="1" applyFill="1" applyAlignment="1">
      <alignment horizontal="center"/>
    </xf>
    <xf numFmtId="0" fontId="15" fillId="17" borderId="0" xfId="0" applyNumberFormat="1" applyFont="1" applyFill="1" applyAlignment="1">
      <alignment horizontal="center"/>
    </xf>
    <xf numFmtId="3" fontId="15" fillId="17" borderId="0" xfId="0" applyNumberFormat="1" applyFont="1" applyFill="1" applyAlignment="1">
      <alignment horizontal="center"/>
    </xf>
    <xf numFmtId="10" fontId="15" fillId="17" borderId="0" xfId="0" applyNumberFormat="1" applyFont="1" applyFill="1" applyAlignment="1">
      <alignment horizontal="center"/>
    </xf>
    <xf numFmtId="4" fontId="15" fillId="17" borderId="0" xfId="0" applyNumberFormat="1" applyFont="1" applyFill="1" applyAlignment="1">
      <alignment horizontal="center"/>
    </xf>
    <xf numFmtId="184" fontId="0" fillId="17" borderId="0" xfId="0" applyNumberFormat="1" applyFill="1" applyBorder="1" applyAlignment="1">
      <alignment horizontal="center" vertical="center"/>
    </xf>
    <xf numFmtId="0" fontId="0" fillId="17" borderId="0" xfId="0" applyFill="1" applyBorder="1" applyAlignment="1">
      <alignment horizontal="center" vertical="center"/>
    </xf>
    <xf numFmtId="183" fontId="30" fillId="17" borderId="0" xfId="0" applyNumberFormat="1" applyFont="1" applyFill="1" applyBorder="1" applyAlignment="1">
      <alignment horizontal="center" vertical="center"/>
    </xf>
    <xf numFmtId="185" fontId="30" fillId="17" borderId="0" xfId="0" applyNumberFormat="1" applyFont="1" applyFill="1" applyBorder="1" applyAlignment="1">
      <alignment horizontal="center" vertical="center"/>
    </xf>
    <xf numFmtId="179" fontId="0" fillId="17" borderId="0" xfId="0" applyNumberFormat="1" applyFill="1" applyBorder="1" applyAlignment="1">
      <alignment horizontal="center" vertical="center"/>
    </xf>
    <xf numFmtId="9" fontId="30" fillId="17" borderId="0" xfId="3" applyFont="1" applyFill="1" applyBorder="1" applyAlignment="1">
      <alignment horizontal="center" vertical="center"/>
    </xf>
    <xf numFmtId="9" fontId="0" fillId="17" borderId="0" xfId="3" applyFill="1" applyBorder="1" applyAlignment="1">
      <alignment horizontal="center" vertical="center"/>
    </xf>
    <xf numFmtId="0" fontId="0" fillId="16" borderId="1" xfId="0" applyFill="1" applyBorder="1">
      <alignment vertical="center"/>
    </xf>
    <xf numFmtId="178" fontId="0" fillId="19" borderId="1" xfId="0" applyNumberFormat="1" applyFill="1" applyBorder="1">
      <alignment vertical="center"/>
    </xf>
    <xf numFmtId="178" fontId="0" fillId="0" borderId="1" xfId="0" applyNumberFormat="1" applyBorder="1">
      <alignment vertical="center"/>
    </xf>
    <xf numFmtId="179" fontId="0" fillId="0" borderId="1" xfId="0" applyNumberFormat="1" applyFill="1" applyBorder="1">
      <alignment vertical="center"/>
    </xf>
    <xf numFmtId="178" fontId="0" fillId="0" borderId="1" xfId="0" applyNumberFormat="1" applyFill="1" applyBorder="1">
      <alignment vertical="center"/>
    </xf>
    <xf numFmtId="0" fontId="0" fillId="19" borderId="1" xfId="0" applyFill="1" applyBorder="1">
      <alignment vertical="center"/>
    </xf>
    <xf numFmtId="0" fontId="31" fillId="14" borderId="1" xfId="0" applyFont="1" applyFill="1" applyBorder="1" applyAlignment="1">
      <alignment horizontal="center" vertical="center"/>
    </xf>
    <xf numFmtId="178" fontId="31" fillId="14" borderId="1" xfId="0" applyNumberFormat="1" applyFont="1" applyFill="1" applyBorder="1" applyAlignment="1">
      <alignment horizontal="center" vertical="center" wrapText="1"/>
    </xf>
    <xf numFmtId="178" fontId="31" fillId="14" borderId="1" xfId="0" applyNumberFormat="1" applyFont="1" applyFill="1" applyBorder="1" applyAlignment="1">
      <alignment horizontal="center" vertical="center"/>
    </xf>
    <xf numFmtId="179" fontId="31" fillId="14" borderId="1" xfId="0" applyNumberFormat="1" applyFont="1" applyFill="1" applyBorder="1" applyAlignment="1">
      <alignment horizontal="center" vertical="center"/>
    </xf>
    <xf numFmtId="0" fontId="31" fillId="14" borderId="1" xfId="0" applyNumberFormat="1" applyFont="1" applyFill="1" applyBorder="1" applyAlignment="1">
      <alignment horizontal="center" vertical="center" wrapText="1"/>
    </xf>
    <xf numFmtId="10" fontId="31" fillId="14" borderId="1" xfId="0" applyNumberFormat="1" applyFont="1" applyFill="1" applyBorder="1" applyAlignment="1">
      <alignment horizontal="center" vertical="center"/>
    </xf>
    <xf numFmtId="0" fontId="32" fillId="14" borderId="1" xfId="0" applyNumberFormat="1" applyFont="1" applyFill="1" applyBorder="1" applyAlignment="1">
      <alignment horizontal="center" vertical="center" wrapText="1"/>
    </xf>
    <xf numFmtId="186" fontId="31" fillId="14" borderId="1" xfId="0" applyNumberFormat="1" applyFont="1" applyFill="1" applyBorder="1" applyAlignment="1">
      <alignment horizontal="center" vertical="center" wrapText="1"/>
    </xf>
    <xf numFmtId="0" fontId="31" fillId="14" borderId="1" xfId="0" applyFont="1" applyFill="1" applyBorder="1" applyAlignment="1">
      <alignment horizontal="center" vertical="center" wrapText="1"/>
    </xf>
    <xf numFmtId="0" fontId="31" fillId="15" borderId="1" xfId="0" applyFont="1" applyFill="1" applyBorder="1" applyAlignment="1">
      <alignment horizontal="center" vertical="center"/>
    </xf>
    <xf numFmtId="187" fontId="31" fillId="15" borderId="1" xfId="0" applyNumberFormat="1" applyFont="1" applyFill="1" applyBorder="1" applyAlignment="1">
      <alignment horizontal="center" vertical="center"/>
    </xf>
    <xf numFmtId="0" fontId="33" fillId="16" borderId="1" xfId="0" applyFont="1" applyFill="1" applyBorder="1" applyAlignment="1">
      <alignment horizontal="center" vertical="center"/>
    </xf>
    <xf numFmtId="178" fontId="34" fillId="19" borderId="1" xfId="0" applyNumberFormat="1" applyFont="1" applyFill="1" applyBorder="1" applyAlignment="1">
      <alignment horizontal="center" vertical="center"/>
    </xf>
    <xf numFmtId="0" fontId="34" fillId="19" borderId="1" xfId="0" applyFont="1" applyFill="1" applyBorder="1" applyAlignment="1">
      <alignment horizontal="center" vertical="center"/>
    </xf>
    <xf numFmtId="178" fontId="33" fillId="0" borderId="1" xfId="0" applyNumberFormat="1" applyFont="1" applyFill="1" applyBorder="1" applyAlignment="1">
      <alignment horizontal="center" vertical="center"/>
    </xf>
    <xf numFmtId="179" fontId="33" fillId="0" borderId="1" xfId="0" applyNumberFormat="1" applyFont="1" applyFill="1" applyBorder="1" applyAlignment="1">
      <alignment horizontal="center" vertical="center"/>
    </xf>
    <xf numFmtId="178" fontId="35" fillId="0" borderId="1" xfId="0" applyNumberFormat="1" applyFont="1" applyFill="1" applyBorder="1" applyAlignment="1">
      <alignment horizontal="center" vertical="center"/>
    </xf>
    <xf numFmtId="10" fontId="33" fillId="0" borderId="1" xfId="0" applyNumberFormat="1" applyFont="1" applyFill="1" applyBorder="1" applyAlignment="1">
      <alignment horizontal="center" vertical="center"/>
    </xf>
    <xf numFmtId="10" fontId="34" fillId="19" borderId="1" xfId="0" applyNumberFormat="1" applyFont="1" applyFill="1" applyBorder="1" applyAlignment="1">
      <alignment horizontal="center" vertical="center"/>
    </xf>
    <xf numFmtId="188" fontId="35" fillId="0" borderId="1" xfId="0" applyNumberFormat="1" applyFont="1" applyFill="1" applyBorder="1" applyAlignment="1">
      <alignment horizontal="center" vertical="center"/>
    </xf>
    <xf numFmtId="188" fontId="35" fillId="16" borderId="1" xfId="0" applyNumberFormat="1" applyFont="1" applyFill="1" applyBorder="1" applyAlignment="1">
      <alignment horizontal="center" vertical="center"/>
    </xf>
    <xf numFmtId="0" fontId="33" fillId="0" borderId="1" xfId="0" applyNumberFormat="1" applyFont="1" applyFill="1" applyBorder="1" applyAlignment="1">
      <alignment horizontal="center" vertical="center"/>
    </xf>
    <xf numFmtId="0" fontId="35" fillId="16" borderId="1" xfId="0" applyFont="1" applyFill="1" applyBorder="1" applyAlignment="1">
      <alignment horizontal="center" vertical="center"/>
    </xf>
    <xf numFmtId="0" fontId="35" fillId="0" borderId="1" xfId="0" applyFont="1" applyFill="1" applyBorder="1" applyAlignment="1">
      <alignment horizontal="center" vertical="center"/>
    </xf>
    <xf numFmtId="0" fontId="33" fillId="0" borderId="1" xfId="0" applyFont="1" applyFill="1" applyBorder="1" applyAlignment="1">
      <alignment horizontal="center" vertical="center"/>
    </xf>
    <xf numFmtId="3" fontId="34" fillId="19" borderId="1" xfId="0" applyNumberFormat="1" applyFont="1" applyFill="1" applyBorder="1" applyAlignment="1">
      <alignment horizontal="center" vertical="center"/>
    </xf>
    <xf numFmtId="10" fontId="36" fillId="19" borderId="1" xfId="0" applyNumberFormat="1" applyFont="1" applyFill="1" applyBorder="1" applyAlignment="1">
      <alignment horizontal="center" vertical="center"/>
    </xf>
    <xf numFmtId="9" fontId="34" fillId="19" borderId="1" xfId="0" applyNumberFormat="1" applyFont="1" applyFill="1" applyBorder="1" applyAlignment="1">
      <alignment horizontal="center" vertical="center"/>
    </xf>
    <xf numFmtId="0" fontId="37" fillId="17" borderId="1" xfId="0" applyFont="1" applyFill="1" applyBorder="1">
      <alignment vertical="center"/>
    </xf>
    <xf numFmtId="178" fontId="13" fillId="19" borderId="1" xfId="0" applyNumberFormat="1" applyFont="1" applyFill="1" applyBorder="1" applyAlignment="1">
      <alignment horizontal="center" vertical="center"/>
    </xf>
    <xf numFmtId="0" fontId="13" fillId="19" borderId="1" xfId="0" applyFont="1" applyFill="1" applyBorder="1" applyAlignment="1">
      <alignment horizontal="center" vertical="center"/>
    </xf>
    <xf numFmtId="10" fontId="13" fillId="19" borderId="1" xfId="0" applyNumberFormat="1" applyFont="1" applyFill="1" applyBorder="1" applyAlignment="1">
      <alignment horizontal="center" vertical="center"/>
    </xf>
    <xf numFmtId="10" fontId="38" fillId="19" borderId="1" xfId="0" applyNumberFormat="1" applyFont="1" applyFill="1" applyBorder="1" applyAlignment="1">
      <alignment horizontal="center" vertical="center"/>
    </xf>
    <xf numFmtId="4" fontId="13" fillId="19" borderId="1" xfId="0" applyNumberFormat="1" applyFont="1" applyFill="1" applyBorder="1" applyAlignment="1">
      <alignment horizontal="center" vertical="center"/>
    </xf>
    <xf numFmtId="3" fontId="13" fillId="19" borderId="1" xfId="0" applyNumberFormat="1" applyFont="1" applyFill="1" applyBorder="1" applyAlignment="1">
      <alignment horizontal="center" vertical="center"/>
    </xf>
    <xf numFmtId="9" fontId="13" fillId="19" borderId="1" xfId="0" applyNumberFormat="1" applyFont="1" applyFill="1" applyBorder="1" applyAlignment="1">
      <alignment horizontal="center" vertical="center"/>
    </xf>
    <xf numFmtId="49" fontId="13" fillId="19" borderId="1" xfId="0" applyNumberFormat="1" applyFont="1" applyFill="1" applyBorder="1" applyAlignment="1">
      <alignment horizontal="center" vertical="center"/>
    </xf>
    <xf numFmtId="181" fontId="13" fillId="19" borderId="1" xfId="0" applyNumberFormat="1" applyFont="1" applyFill="1" applyBorder="1" applyAlignment="1">
      <alignment horizontal="center" vertical="center"/>
    </xf>
    <xf numFmtId="0" fontId="30"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colors>
    <mruColors>
      <color rgb="00A73A18"/>
      <color rgb="00F4330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1270</xdr:rowOff>
    </xdr:from>
    <xdr:to>
      <xdr:col>30</xdr:col>
      <xdr:colOff>178435</xdr:colOff>
      <xdr:row>10</xdr:row>
      <xdr:rowOff>77470</xdr:rowOff>
    </xdr:to>
    <xdr:pic>
      <xdr:nvPicPr>
        <xdr:cNvPr id="2" name="图片 1"/>
        <xdr:cNvPicPr>
          <a:picLocks noChangeAspect="1"/>
        </xdr:cNvPicPr>
      </xdr:nvPicPr>
      <xdr:blipFill>
        <a:blip r:embed="rId1"/>
        <a:stretch>
          <a:fillRect/>
        </a:stretch>
      </xdr:blipFill>
      <xdr:spPr>
        <a:xfrm>
          <a:off x="635" y="1270"/>
          <a:ext cx="18465800" cy="18542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
  <sheetViews>
    <sheetView workbookViewId="0">
      <selection activeCell="A11" sqref="A11"/>
    </sheetView>
  </sheetViews>
  <sheetFormatPr defaultColWidth="8.72727272727273" defaultRowHeight="14"/>
  <cols>
    <col min="1" max="1" width="71" customWidth="1"/>
  </cols>
  <sheetData>
    <row r="1" ht="89" customHeight="1" spans="1:1">
      <c r="A1" s="3" t="s">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selection activeCell="B26" sqref="B26"/>
    </sheetView>
  </sheetViews>
  <sheetFormatPr defaultColWidth="8.72727272727273" defaultRowHeight="14" outlineLevelCol="1"/>
  <cols>
    <col min="1" max="1" width="19.3636363636364" customWidth="1"/>
    <col min="2" max="2" width="86.5454545454545" customWidth="1"/>
  </cols>
  <sheetData>
    <row r="1" spans="1:2">
      <c r="A1" t="s">
        <v>1</v>
      </c>
      <c r="B1" t="s">
        <v>2</v>
      </c>
    </row>
    <row r="2" spans="1:2">
      <c r="A2" t="s">
        <v>3</v>
      </c>
      <c r="B2" t="s">
        <v>4</v>
      </c>
    </row>
    <row r="3" spans="1:2">
      <c r="A3" t="s">
        <v>5</v>
      </c>
      <c r="B3" s="314" t="s">
        <v>6</v>
      </c>
    </row>
    <row r="4" spans="1:2">
      <c r="A4" t="s">
        <v>7</v>
      </c>
      <c r="B4" t="s">
        <v>8</v>
      </c>
    </row>
    <row r="5" spans="1:2">
      <c r="A5" t="s">
        <v>9</v>
      </c>
      <c r="B5" t="s">
        <v>10</v>
      </c>
    </row>
    <row r="6" spans="1:2">
      <c r="A6" t="s">
        <v>11</v>
      </c>
      <c r="B6" t="s">
        <v>12</v>
      </c>
    </row>
    <row r="7" spans="1:2">
      <c r="A7" t="s">
        <v>13</v>
      </c>
      <c r="B7" t="s">
        <v>14</v>
      </c>
    </row>
    <row r="8" spans="1:2">
      <c r="A8" t="s">
        <v>15</v>
      </c>
      <c r="B8" t="s">
        <v>16</v>
      </c>
    </row>
    <row r="9" spans="1:2">
      <c r="A9" t="s">
        <v>17</v>
      </c>
      <c r="B9" t="s">
        <v>18</v>
      </c>
    </row>
    <row r="10" spans="1:2">
      <c r="A10" t="s">
        <v>19</v>
      </c>
      <c r="B10" t="s">
        <v>20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19"/>
  <sheetViews>
    <sheetView workbookViewId="0">
      <pane xSplit="2" ySplit="2" topLeftCell="P93" activePane="bottomRight" state="frozen"/>
      <selection/>
      <selection pane="topRight"/>
      <selection pane="bottomLeft"/>
      <selection pane="bottomRight" activeCell="F127" sqref="F127"/>
    </sheetView>
  </sheetViews>
  <sheetFormatPr defaultColWidth="8.8" defaultRowHeight="14"/>
  <cols>
    <col min="1" max="1" width="4.18181818181818" style="198" customWidth="1"/>
    <col min="2" max="2" width="9.45454545454546" style="198" customWidth="1"/>
    <col min="3" max="3" width="8.8" style="270"/>
    <col min="4" max="4" width="11.5454545454545" style="271"/>
    <col min="5" max="5" width="8.8" style="271"/>
    <col min="6" max="6" width="8.8" style="272"/>
    <col min="7" max="7" width="8.8" style="198"/>
    <col min="8" max="8" width="9.81818181818182" style="273" customWidth="1"/>
    <col min="9" max="9" width="10.3636363636364" style="271"/>
    <col min="10" max="10" width="10.4545454545455" style="274"/>
    <col min="11" max="11" width="11.7272727272727" style="272"/>
    <col min="12" max="12" width="8.8" style="198"/>
    <col min="13" max="21" width="8.8" style="275"/>
    <col min="22" max="22" width="8.8" style="198"/>
    <col min="23" max="23" width="8.8" style="270"/>
    <col min="24" max="26" width="8.8" style="198"/>
    <col min="27" max="27" width="8.8" style="270"/>
    <col min="28" max="28" width="8.8" style="198"/>
    <col min="29" max="29" width="11.7272727272727" style="272"/>
    <col min="30" max="16384" width="8.8" style="198"/>
  </cols>
  <sheetData>
    <row r="1" spans="1:31">
      <c r="A1" s="276" t="s">
        <v>21</v>
      </c>
      <c r="B1" s="276" t="s">
        <v>22</v>
      </c>
      <c r="C1" s="276" t="s">
        <v>23</v>
      </c>
      <c r="D1" s="277" t="s">
        <v>24</v>
      </c>
      <c r="E1" s="278" t="s">
        <v>25</v>
      </c>
      <c r="F1" s="278" t="s">
        <v>26</v>
      </c>
      <c r="G1" s="279" t="s">
        <v>27</v>
      </c>
      <c r="H1" s="280" t="s">
        <v>28</v>
      </c>
      <c r="I1" s="277" t="s">
        <v>29</v>
      </c>
      <c r="J1" s="277" t="s">
        <v>30</v>
      </c>
      <c r="K1" s="277" t="s">
        <v>31</v>
      </c>
      <c r="L1" s="281" t="s">
        <v>32</v>
      </c>
      <c r="M1" s="282" t="s">
        <v>33</v>
      </c>
      <c r="N1" s="282"/>
      <c r="O1" s="282"/>
      <c r="P1" s="282"/>
      <c r="Q1" s="282"/>
      <c r="R1" s="282"/>
      <c r="S1" s="282"/>
      <c r="T1" s="282"/>
      <c r="U1" s="282"/>
      <c r="V1" s="280" t="s">
        <v>34</v>
      </c>
      <c r="W1" s="280"/>
      <c r="X1" s="283"/>
      <c r="Y1" s="284"/>
      <c r="Z1" s="284"/>
      <c r="AA1" s="284"/>
      <c r="AB1" s="284"/>
      <c r="AC1" s="278" t="s">
        <v>35</v>
      </c>
      <c r="AD1" s="276"/>
      <c r="AE1" s="276"/>
    </row>
    <row r="2" ht="40.5" spans="1:31">
      <c r="A2" s="276"/>
      <c r="B2" s="276"/>
      <c r="C2" s="276"/>
      <c r="D2" s="277"/>
      <c r="E2" s="278"/>
      <c r="F2" s="278"/>
      <c r="G2" s="279"/>
      <c r="H2" s="280"/>
      <c r="I2" s="278"/>
      <c r="J2" s="277"/>
      <c r="K2" s="277"/>
      <c r="L2" s="281"/>
      <c r="M2" s="282" t="s">
        <v>36</v>
      </c>
      <c r="N2" s="282" t="s">
        <v>37</v>
      </c>
      <c r="O2" s="282" t="s">
        <v>38</v>
      </c>
      <c r="P2" s="282" t="s">
        <v>39</v>
      </c>
      <c r="Q2" s="282" t="s">
        <v>40</v>
      </c>
      <c r="R2" s="282" t="s">
        <v>41</v>
      </c>
      <c r="S2" s="282" t="s">
        <v>42</v>
      </c>
      <c r="T2" s="282" t="s">
        <v>43</v>
      </c>
      <c r="U2" s="282" t="s">
        <v>44</v>
      </c>
      <c r="V2" s="280" t="s">
        <v>45</v>
      </c>
      <c r="W2" s="280" t="s">
        <v>46</v>
      </c>
      <c r="X2" s="283" t="s">
        <v>47</v>
      </c>
      <c r="Y2" s="284" t="s">
        <v>48</v>
      </c>
      <c r="Z2" s="284" t="s">
        <v>49</v>
      </c>
      <c r="AA2" s="284" t="s">
        <v>50</v>
      </c>
      <c r="AB2" s="284" t="s">
        <v>51</v>
      </c>
      <c r="AC2" s="277" t="s">
        <v>52</v>
      </c>
      <c r="AD2" s="281" t="s">
        <v>53</v>
      </c>
      <c r="AE2" s="281" t="s">
        <v>54</v>
      </c>
    </row>
    <row r="3" ht="14.5" spans="1:31">
      <c r="A3" s="285">
        <v>1</v>
      </c>
      <c r="B3" s="286">
        <v>45477</v>
      </c>
      <c r="C3" s="287"/>
      <c r="D3" s="288">
        <v>2022</v>
      </c>
      <c r="E3" s="289">
        <v>6</v>
      </c>
      <c r="F3" s="290">
        <f>AC3+AD3+AE3</f>
        <v>1179.27</v>
      </c>
      <c r="G3" s="291">
        <f>D3/F3</f>
        <v>1.71462006156351</v>
      </c>
      <c r="H3" s="291">
        <f t="shared" ref="H3:H8" si="0">K3/F3</f>
        <v>1.64686628168274</v>
      </c>
      <c r="I3" s="288">
        <v>3356</v>
      </c>
      <c r="J3" s="292">
        <f>VLOOKUP(B3,推广数据统计!$A:$AB,23,FALSE)</f>
        <v>79.9</v>
      </c>
      <c r="K3" s="290">
        <f>D3-J3</f>
        <v>1942.1</v>
      </c>
      <c r="L3" s="293">
        <f>J3/D3</f>
        <v>0.039515331355094</v>
      </c>
      <c r="M3" s="294">
        <v>0.1135</v>
      </c>
      <c r="N3" s="294">
        <v>0.1431</v>
      </c>
      <c r="O3" s="289">
        <v>114</v>
      </c>
      <c r="P3" s="294">
        <v>0.0098</v>
      </c>
      <c r="Q3" s="294">
        <v>0.2011</v>
      </c>
      <c r="R3" s="294">
        <v>0.2108</v>
      </c>
      <c r="S3" s="289">
        <v>0.6</v>
      </c>
      <c r="T3" s="289">
        <v>177</v>
      </c>
      <c r="U3" s="294">
        <v>0.0527</v>
      </c>
      <c r="V3" s="295">
        <v>0</v>
      </c>
      <c r="W3" s="296">
        <v>1</v>
      </c>
      <c r="X3" s="297">
        <f>W3-V3</f>
        <v>1</v>
      </c>
      <c r="Y3" s="297">
        <f>推广数据统计!AB4</f>
        <v>16</v>
      </c>
      <c r="Z3" s="297"/>
      <c r="AA3" s="298">
        <v>4.7</v>
      </c>
      <c r="AB3" s="299">
        <v>0.1259</v>
      </c>
      <c r="AC3" s="292">
        <f>推广数据统计!B4+推广数据统计!AS4+推广数据统计!AV4+推广数据统计!BA4+推广数据统计!BF4</f>
        <v>1179.27</v>
      </c>
      <c r="AD3" s="300"/>
      <c r="AE3" s="299"/>
    </row>
    <row r="4" ht="14.5" spans="1:31">
      <c r="A4" s="285">
        <v>2</v>
      </c>
      <c r="B4" s="286">
        <v>45478</v>
      </c>
      <c r="C4" s="287"/>
      <c r="D4" s="288">
        <v>986</v>
      </c>
      <c r="E4" s="289">
        <v>6</v>
      </c>
      <c r="F4" s="290">
        <f t="shared" ref="F4:F35" si="1">AC4+AD4+AE4</f>
        <v>1182.97</v>
      </c>
      <c r="G4" s="291">
        <f t="shared" ref="G4:G21" si="2">D4/F4</f>
        <v>0.83349535491179</v>
      </c>
      <c r="H4" s="291">
        <f t="shared" si="0"/>
        <v>0.831804694962679</v>
      </c>
      <c r="I4" s="288">
        <v>8519</v>
      </c>
      <c r="J4" s="292">
        <f>VLOOKUP(B4,推广数据统计!$A:$AB,23,FALSE)</f>
        <v>2</v>
      </c>
      <c r="K4" s="290">
        <f t="shared" ref="K4:K27" si="3">D4-J4</f>
        <v>984</v>
      </c>
      <c r="L4" s="293">
        <f>J4/D4</f>
        <v>0.00202839756592292</v>
      </c>
      <c r="M4" s="294">
        <v>0.2162</v>
      </c>
      <c r="N4" s="294">
        <v>0.1943</v>
      </c>
      <c r="O4" s="289">
        <v>97</v>
      </c>
      <c r="P4" s="294">
        <v>0.0013</v>
      </c>
      <c r="Q4" s="294">
        <v>0.0715</v>
      </c>
      <c r="R4" s="294">
        <v>0.3062</v>
      </c>
      <c r="S4" s="289">
        <v>0.12</v>
      </c>
      <c r="T4" s="289">
        <v>1112</v>
      </c>
      <c r="U4" s="294">
        <v>0.1305</v>
      </c>
      <c r="V4" s="295">
        <f>W3</f>
        <v>1</v>
      </c>
      <c r="W4" s="296"/>
      <c r="X4" s="297">
        <f>W4-V4</f>
        <v>-1</v>
      </c>
      <c r="Y4" s="297">
        <f>推广数据统计!AB5</f>
        <v>20</v>
      </c>
      <c r="Z4" s="297"/>
      <c r="AA4" s="298">
        <v>5.4</v>
      </c>
      <c r="AB4" s="299">
        <f>AA4-AA3</f>
        <v>0.7</v>
      </c>
      <c r="AC4" s="292">
        <f>推广数据统计!B5+推广数据统计!AS5+推广数据统计!AV5+推广数据统计!BA5+推广数据统计!BF5</f>
        <v>1182.97</v>
      </c>
      <c r="AD4" s="300"/>
      <c r="AE4" s="299"/>
    </row>
    <row r="5" ht="14.5" spans="1:31">
      <c r="A5" s="285">
        <v>3</v>
      </c>
      <c r="B5" s="286">
        <v>45479</v>
      </c>
      <c r="C5" s="287"/>
      <c r="D5" s="288">
        <v>3143</v>
      </c>
      <c r="E5" s="289">
        <v>6</v>
      </c>
      <c r="F5" s="290">
        <f t="shared" si="1"/>
        <v>4404.98</v>
      </c>
      <c r="G5" s="291">
        <f t="shared" si="2"/>
        <v>0.713510617528343</v>
      </c>
      <c r="H5" s="291">
        <f t="shared" si="0"/>
        <v>0.665930378798542</v>
      </c>
      <c r="I5" s="288">
        <v>6038</v>
      </c>
      <c r="J5" s="292">
        <f>VLOOKUP(B5,推广数据统计!$A:$AB,23,FALSE)</f>
        <v>209.59</v>
      </c>
      <c r="K5" s="290">
        <f t="shared" si="3"/>
        <v>2933.41</v>
      </c>
      <c r="L5" s="293">
        <f>J5/D5</f>
        <v>0.066684696150175</v>
      </c>
      <c r="M5" s="294">
        <v>0.1238</v>
      </c>
      <c r="N5" s="294">
        <v>0.1417</v>
      </c>
      <c r="O5" s="289">
        <v>104</v>
      </c>
      <c r="P5" s="294">
        <v>0.0096</v>
      </c>
      <c r="Q5" s="294">
        <v>0.3265</v>
      </c>
      <c r="R5" s="294">
        <v>0.8729</v>
      </c>
      <c r="S5" s="289">
        <v>0.52</v>
      </c>
      <c r="T5" s="289">
        <v>357</v>
      </c>
      <c r="U5" s="294">
        <v>0.0591</v>
      </c>
      <c r="V5" s="295">
        <f>W4</f>
        <v>0</v>
      </c>
      <c r="W5" s="296"/>
      <c r="X5" s="297">
        <f>W5-V5</f>
        <v>0</v>
      </c>
      <c r="Y5" s="297">
        <f>推广数据统计!AB6</f>
        <v>27</v>
      </c>
      <c r="Z5" s="297"/>
      <c r="AA5" s="298">
        <v>4.9</v>
      </c>
      <c r="AB5" s="299">
        <f>AA5-AA4</f>
        <v>-0.5</v>
      </c>
      <c r="AC5" s="292">
        <f>推广数据统计!B6+推广数据统计!AS6+推广数据统计!AV6+推广数据统计!BA6+推广数据统计!BF6</f>
        <v>4404.98</v>
      </c>
      <c r="AD5" s="300"/>
      <c r="AE5" s="299"/>
    </row>
    <row r="6" ht="14.5" spans="1:31">
      <c r="A6" s="285">
        <v>4</v>
      </c>
      <c r="B6" s="286">
        <v>45480</v>
      </c>
      <c r="D6" s="288">
        <v>8441</v>
      </c>
      <c r="E6" s="289">
        <v>6</v>
      </c>
      <c r="F6" s="290">
        <f t="shared" si="1"/>
        <v>7301.95</v>
      </c>
      <c r="G6" s="291">
        <f t="shared" si="2"/>
        <v>1.15599257732524</v>
      </c>
      <c r="H6" s="291">
        <f t="shared" si="0"/>
        <v>0.984353494614452</v>
      </c>
      <c r="I6" s="288">
        <v>6741</v>
      </c>
      <c r="J6" s="292">
        <f>VLOOKUP(B6,推广数据统计!$A:$AB,23,FALSE)</f>
        <v>1253.3</v>
      </c>
      <c r="K6" s="290">
        <f t="shared" si="3"/>
        <v>7187.7</v>
      </c>
      <c r="L6" s="293">
        <f t="shared" ref="L6:L14" si="4">J6/D6</f>
        <v>0.148477668522687</v>
      </c>
      <c r="M6" s="294">
        <v>0.0567</v>
      </c>
      <c r="N6" s="294">
        <v>0.1107</v>
      </c>
      <c r="O6" s="289">
        <v>82</v>
      </c>
      <c r="P6" s="294">
        <v>0.0156</v>
      </c>
      <c r="Q6" s="294">
        <v>0.4825</v>
      </c>
      <c r="R6" s="294">
        <v>0.8942</v>
      </c>
      <c r="S6" s="289">
        <v>1.25</v>
      </c>
      <c r="T6" s="289">
        <v>253</v>
      </c>
      <c r="U6" s="294">
        <v>0.0375</v>
      </c>
      <c r="Y6" s="297">
        <f>推广数据统计!AB7</f>
        <v>68</v>
      </c>
      <c r="AC6" s="292">
        <f>推广数据统计!B7+推广数据统计!AS7+推广数据统计!AV7+推广数据统计!BA7+推广数据统计!BF7</f>
        <v>7301.95</v>
      </c>
    </row>
    <row r="7" ht="14.5" spans="1:31">
      <c r="A7" s="285">
        <v>5</v>
      </c>
      <c r="B7" s="286">
        <v>45481</v>
      </c>
      <c r="D7" s="288">
        <v>10626</v>
      </c>
      <c r="E7" s="289">
        <v>6</v>
      </c>
      <c r="F7" s="290">
        <f t="shared" si="1"/>
        <v>8571.11</v>
      </c>
      <c r="G7" s="291">
        <f t="shared" si="2"/>
        <v>1.2397460772292</v>
      </c>
      <c r="H7" s="291">
        <f t="shared" si="0"/>
        <v>1.03439577837643</v>
      </c>
      <c r="I7" s="288">
        <v>10400</v>
      </c>
      <c r="J7" s="292">
        <f>VLOOKUP(B7,推广数据统计!$A:$AB,23,FALSE)</f>
        <v>1760.08</v>
      </c>
      <c r="K7" s="290">
        <f t="shared" si="3"/>
        <v>8865.92</v>
      </c>
      <c r="L7" s="293">
        <f t="shared" si="4"/>
        <v>0.165638998682477</v>
      </c>
      <c r="M7" s="294">
        <v>0.1036</v>
      </c>
      <c r="N7" s="294">
        <v>0.0216</v>
      </c>
      <c r="O7" s="289">
        <v>79</v>
      </c>
      <c r="P7" s="294">
        <v>0.0124</v>
      </c>
      <c r="Q7" s="294">
        <v>0.961</v>
      </c>
      <c r="R7" s="294">
        <v>0.9828</v>
      </c>
      <c r="S7" s="289">
        <v>1.02</v>
      </c>
      <c r="T7" s="289">
        <v>684</v>
      </c>
      <c r="U7" s="294">
        <v>0.0658</v>
      </c>
      <c r="Y7" s="297">
        <f>推广数据统计!AB8</f>
        <v>102</v>
      </c>
      <c r="AC7" s="292">
        <f>推广数据统计!B8+推广数据统计!AS8+推广数据统计!AV8+推广数据统计!BA8+推广数据统计!BF8</f>
        <v>8571.11</v>
      </c>
    </row>
    <row r="8" ht="14.5" spans="1:31">
      <c r="A8" s="285">
        <v>6</v>
      </c>
      <c r="B8" s="286">
        <v>45482</v>
      </c>
      <c r="D8" s="288">
        <v>6390</v>
      </c>
      <c r="E8" s="289">
        <v>6</v>
      </c>
      <c r="F8" s="290">
        <f t="shared" si="1"/>
        <v>5864.2</v>
      </c>
      <c r="G8" s="291">
        <f t="shared" si="2"/>
        <v>1.08966269908939</v>
      </c>
      <c r="H8" s="291">
        <f t="shared" si="0"/>
        <v>0.960727806009345</v>
      </c>
      <c r="I8" s="288">
        <v>7305</v>
      </c>
      <c r="J8" s="292">
        <f>VLOOKUP(B8,推广数据统计!$A:$AB,23,FALSE)</f>
        <v>756.1</v>
      </c>
      <c r="K8" s="290">
        <f t="shared" si="3"/>
        <v>5633.9</v>
      </c>
      <c r="L8" s="293">
        <f t="shared" si="4"/>
        <v>0.118325508607199</v>
      </c>
      <c r="M8" s="294">
        <v>0.1089</v>
      </c>
      <c r="N8" s="294">
        <v>0.137</v>
      </c>
      <c r="O8" s="289">
        <v>76</v>
      </c>
      <c r="P8" s="294">
        <v>0.0102</v>
      </c>
      <c r="Q8" s="294">
        <v>0.3461</v>
      </c>
      <c r="R8" s="294">
        <v>0.883</v>
      </c>
      <c r="S8" s="289">
        <v>0.87</v>
      </c>
      <c r="T8" s="289">
        <v>405</v>
      </c>
      <c r="U8" s="294">
        <v>0.0554</v>
      </c>
      <c r="Y8" s="297">
        <f>推广数据统计!AB9</f>
        <v>52</v>
      </c>
      <c r="AC8" s="292">
        <f>推广数据统计!B9+推广数据统计!AS9+推广数据统计!AV9+推广数据统计!BA9+推广数据统计!BF9</f>
        <v>5864.2</v>
      </c>
    </row>
    <row r="9" ht="14.5" spans="1:31">
      <c r="A9" s="285">
        <v>7</v>
      </c>
      <c r="B9" s="286">
        <v>45483</v>
      </c>
      <c r="D9" s="288">
        <v>4047</v>
      </c>
      <c r="E9" s="289">
        <v>6</v>
      </c>
      <c r="F9" s="290">
        <f t="shared" si="1"/>
        <v>3319.62</v>
      </c>
      <c r="G9" s="291">
        <f t="shared" si="2"/>
        <v>1.21911544092396</v>
      </c>
      <c r="H9" s="291">
        <f t="shared" ref="H9:H40" si="5">K9/F9</f>
        <v>1.11536862652954</v>
      </c>
      <c r="I9" s="288">
        <v>5481</v>
      </c>
      <c r="J9" s="292">
        <f>VLOOKUP(B9,推广数据统计!$A:$AB,23,FALSE)</f>
        <v>344.4</v>
      </c>
      <c r="K9" s="290">
        <f t="shared" si="3"/>
        <v>3702.6</v>
      </c>
      <c r="L9" s="293">
        <f t="shared" si="4"/>
        <v>0.0851000741289844</v>
      </c>
      <c r="M9" s="294">
        <v>0.1403</v>
      </c>
      <c r="N9" s="294">
        <v>0.1991</v>
      </c>
      <c r="O9" s="289">
        <v>93</v>
      </c>
      <c r="P9" s="294">
        <v>0.0089</v>
      </c>
      <c r="Q9" s="294">
        <v>0.2402</v>
      </c>
      <c r="R9" s="294">
        <v>0.7708</v>
      </c>
      <c r="S9" s="289">
        <v>0.74</v>
      </c>
      <c r="T9" s="289">
        <v>392</v>
      </c>
      <c r="U9" s="294">
        <v>0.0715</v>
      </c>
      <c r="Y9" s="297">
        <f>推广数据统计!AB10</f>
        <v>27</v>
      </c>
      <c r="AC9" s="292">
        <f>推广数据统计!B10+推广数据统计!AS10+推广数据统计!AV10+推广数据统计!BA10+推广数据统计!BF10</f>
        <v>3319.62</v>
      </c>
    </row>
    <row r="10" ht="14.5" spans="1:31">
      <c r="A10" s="285">
        <v>8</v>
      </c>
      <c r="B10" s="286">
        <v>45484</v>
      </c>
      <c r="D10" s="288">
        <v>8894</v>
      </c>
      <c r="E10" s="289">
        <v>6</v>
      </c>
      <c r="F10" s="290">
        <f t="shared" si="1"/>
        <v>7189.59</v>
      </c>
      <c r="G10" s="291">
        <f t="shared" si="2"/>
        <v>1.23706636957045</v>
      </c>
      <c r="H10" s="291">
        <f t="shared" si="5"/>
        <v>1.14262426647417</v>
      </c>
      <c r="I10" s="288">
        <v>11700</v>
      </c>
      <c r="J10" s="292">
        <f>VLOOKUP(B10,推广数据统计!$A:$AB,23,FALSE)</f>
        <v>679</v>
      </c>
      <c r="K10" s="290">
        <f t="shared" si="3"/>
        <v>8215</v>
      </c>
      <c r="L10" s="293">
        <f t="shared" si="4"/>
        <v>0.0763436024286036</v>
      </c>
      <c r="M10" s="294">
        <v>0.1543</v>
      </c>
      <c r="N10" s="294">
        <v>0.1613</v>
      </c>
      <c r="O10" s="289">
        <v>66</v>
      </c>
      <c r="P10" s="294">
        <v>0.0089</v>
      </c>
      <c r="Q10" s="294">
        <v>0.244</v>
      </c>
      <c r="R10" s="294">
        <v>0.9176</v>
      </c>
      <c r="S10" s="289">
        <v>0.76</v>
      </c>
      <c r="T10" s="301">
        <v>1001</v>
      </c>
      <c r="U10" s="294">
        <v>0.0856</v>
      </c>
      <c r="Y10" s="297">
        <f>推广数据统计!AB11</f>
        <v>53</v>
      </c>
      <c r="AC10" s="292">
        <f>推广数据统计!B11+推广数据统计!AS11+推广数据统计!AV11+推广数据统计!BA11+推广数据统计!BF11</f>
        <v>7189.59</v>
      </c>
    </row>
    <row r="11" ht="14.5" spans="1:31">
      <c r="A11" s="285">
        <v>9</v>
      </c>
      <c r="B11" s="286">
        <v>45485</v>
      </c>
      <c r="D11" s="288">
        <v>9502.53</v>
      </c>
      <c r="E11" s="289">
        <v>8</v>
      </c>
      <c r="F11" s="290">
        <f t="shared" si="1"/>
        <v>12332.54</v>
      </c>
      <c r="G11" s="291">
        <f t="shared" si="2"/>
        <v>0.770524968903405</v>
      </c>
      <c r="H11" s="291">
        <f t="shared" si="5"/>
        <v>0.664545178852045</v>
      </c>
      <c r="I11" s="288">
        <v>16800</v>
      </c>
      <c r="J11" s="292">
        <f>VLOOKUP(B11,推广数据统计!$A:$AB,23,FALSE)</f>
        <v>1307</v>
      </c>
      <c r="K11" s="290">
        <f t="shared" si="3"/>
        <v>8195.53</v>
      </c>
      <c r="L11" s="293">
        <f t="shared" si="4"/>
        <v>0.137542317677503</v>
      </c>
      <c r="M11" s="294">
        <v>0.1954</v>
      </c>
      <c r="N11" s="294">
        <v>0.1689</v>
      </c>
      <c r="O11" s="289">
        <v>71</v>
      </c>
      <c r="P11" s="294">
        <v>0.0099</v>
      </c>
      <c r="Q11" s="294">
        <v>0.2568</v>
      </c>
      <c r="R11" s="294">
        <v>0.9067</v>
      </c>
      <c r="S11" s="289">
        <v>0.57</v>
      </c>
      <c r="T11" s="289">
        <v>1382</v>
      </c>
      <c r="U11" s="294">
        <v>0.0823</v>
      </c>
      <c r="Y11" s="297">
        <f>推广数据统计!AB12</f>
        <v>76</v>
      </c>
      <c r="AC11" s="292">
        <f>推广数据统计!B12+推广数据统计!AS12+推广数据统计!AV12+推广数据统计!BA12+推广数据统计!BF12</f>
        <v>12332.54</v>
      </c>
    </row>
    <row r="12" ht="14.5" spans="1:31">
      <c r="A12" s="285">
        <v>10</v>
      </c>
      <c r="B12" s="286">
        <v>45486</v>
      </c>
      <c r="D12" s="288">
        <v>11033.23</v>
      </c>
      <c r="E12" s="289">
        <v>8</v>
      </c>
      <c r="F12" s="290">
        <f t="shared" si="1"/>
        <v>14375.14</v>
      </c>
      <c r="G12" s="291">
        <f t="shared" si="2"/>
        <v>0.767521568485594</v>
      </c>
      <c r="H12" s="291">
        <f t="shared" si="5"/>
        <v>0.662617546681284</v>
      </c>
      <c r="I12" s="288">
        <v>18100</v>
      </c>
      <c r="J12" s="292">
        <f>VLOOKUP(B12,推广数据统计!$A:$AB,23,FALSE)</f>
        <v>1508.01</v>
      </c>
      <c r="K12" s="290">
        <f t="shared" si="3"/>
        <v>9525.22</v>
      </c>
      <c r="L12" s="293">
        <f t="shared" si="4"/>
        <v>0.136678923579043</v>
      </c>
      <c r="M12" s="302">
        <v>0.1725</v>
      </c>
      <c r="N12" s="294">
        <v>0.1584</v>
      </c>
      <c r="O12" s="289">
        <v>78</v>
      </c>
      <c r="P12" s="294">
        <v>0.0105</v>
      </c>
      <c r="Q12" s="294">
        <v>0.2282</v>
      </c>
      <c r="R12" s="294">
        <v>0.924</v>
      </c>
      <c r="S12" s="289">
        <v>0.6</v>
      </c>
      <c r="T12" s="289">
        <v>1236</v>
      </c>
      <c r="U12" s="294">
        <v>0.0706</v>
      </c>
      <c r="Y12" s="297">
        <f>推广数据统计!AB13</f>
        <v>83</v>
      </c>
      <c r="AC12" s="292">
        <f>推广数据统计!B13+推广数据统计!AS13+推广数据统计!AV13+推广数据统计!BA13+推广数据统计!BF13</f>
        <v>14375.14</v>
      </c>
    </row>
    <row r="13" ht="14.5" spans="1:31">
      <c r="A13" s="285">
        <v>11</v>
      </c>
      <c r="B13" s="286">
        <v>45487</v>
      </c>
      <c r="D13" s="288">
        <v>12922.9</v>
      </c>
      <c r="E13" s="289">
        <v>8</v>
      </c>
      <c r="F13" s="290">
        <f t="shared" si="1"/>
        <v>8804.79</v>
      </c>
      <c r="G13" s="291">
        <f t="shared" si="2"/>
        <v>1.46771246105813</v>
      </c>
      <c r="H13" s="291">
        <f t="shared" si="5"/>
        <v>1.32679030391412</v>
      </c>
      <c r="I13" s="288">
        <v>14600</v>
      </c>
      <c r="J13" s="292">
        <f>VLOOKUP(B13,推广数据统计!$A:$AB,23,FALSE)</f>
        <v>1240.79</v>
      </c>
      <c r="K13" s="290">
        <f t="shared" si="3"/>
        <v>11682.11</v>
      </c>
      <c r="L13" s="293">
        <f t="shared" si="4"/>
        <v>0.0960148263934566</v>
      </c>
      <c r="M13" s="302">
        <v>0.2297</v>
      </c>
      <c r="N13" s="294">
        <v>0.1634</v>
      </c>
      <c r="O13" s="289">
        <v>92</v>
      </c>
      <c r="P13" s="294">
        <v>0.0107</v>
      </c>
      <c r="Q13" s="294">
        <v>0.2204</v>
      </c>
      <c r="R13" s="294">
        <v>0.9033</v>
      </c>
      <c r="S13" s="289">
        <v>0.6</v>
      </c>
      <c r="T13" s="289">
        <v>933</v>
      </c>
      <c r="U13" s="294">
        <v>0.156</v>
      </c>
      <c r="Y13" s="297">
        <f>推广数据统计!AB14</f>
        <v>78</v>
      </c>
      <c r="AC13" s="292">
        <f>推广数据统计!B14+推广数据统计!AS14+推广数据统计!AV14+推广数据统计!BA14+推广数据统计!BF14</f>
        <v>8804.79</v>
      </c>
    </row>
    <row r="14" ht="14.5" spans="1:31">
      <c r="A14" s="285">
        <v>12</v>
      </c>
      <c r="B14" s="286">
        <v>45488</v>
      </c>
      <c r="D14" s="288">
        <v>16935.07</v>
      </c>
      <c r="E14" s="289">
        <v>8</v>
      </c>
      <c r="F14" s="290">
        <f t="shared" si="1"/>
        <v>17859.94</v>
      </c>
      <c r="G14" s="291">
        <f t="shared" si="2"/>
        <v>0.948215391541069</v>
      </c>
      <c r="H14" s="291">
        <f t="shared" si="5"/>
        <v>0.825825282727713</v>
      </c>
      <c r="I14" s="288">
        <v>26800</v>
      </c>
      <c r="J14" s="292">
        <f>VLOOKUP(B14,推广数据统计!$A:$AB,23,FALSE)</f>
        <v>2185.88</v>
      </c>
      <c r="K14" s="290">
        <f t="shared" si="3"/>
        <v>14749.19</v>
      </c>
      <c r="L14" s="293">
        <f t="shared" si="4"/>
        <v>0.129074163850518</v>
      </c>
      <c r="M14" s="294">
        <v>0.1641</v>
      </c>
      <c r="N14" s="294">
        <v>0.1368</v>
      </c>
      <c r="O14" s="289">
        <v>70</v>
      </c>
      <c r="P14" s="294">
        <v>0.0096</v>
      </c>
      <c r="Q14" s="294">
        <v>0.3073</v>
      </c>
      <c r="R14" s="294">
        <v>0.9218</v>
      </c>
      <c r="S14" s="289">
        <v>0.6</v>
      </c>
      <c r="T14" s="289">
        <v>1710</v>
      </c>
      <c r="U14" s="294">
        <v>0.156</v>
      </c>
      <c r="Y14" s="297">
        <f>推广数据统计!AB15</f>
        <v>171</v>
      </c>
      <c r="AC14" s="292">
        <f>推广数据统计!B15+推广数据统计!AS15+推广数据统计!AV15+推广数据统计!BA15+推广数据统计!BF15</f>
        <v>17859.94</v>
      </c>
    </row>
    <row r="15" ht="14.5" spans="1:31">
      <c r="A15" s="285">
        <v>13</v>
      </c>
      <c r="B15" s="286">
        <v>45489</v>
      </c>
      <c r="D15" s="288">
        <v>14593.52</v>
      </c>
      <c r="E15" s="289">
        <v>8</v>
      </c>
      <c r="F15" s="290">
        <f t="shared" si="1"/>
        <v>15583.28</v>
      </c>
      <c r="G15" s="291">
        <f t="shared" si="2"/>
        <v>0.936485771929915</v>
      </c>
      <c r="H15" s="291">
        <f t="shared" si="5"/>
        <v>0.869658377440436</v>
      </c>
      <c r="I15" s="288">
        <v>22800</v>
      </c>
      <c r="J15" s="292">
        <f>VLOOKUP(B15,推广数据统计!$A:$AB,23,FALSE)</f>
        <v>1041.39</v>
      </c>
      <c r="K15" s="290">
        <f t="shared" si="3"/>
        <v>13552.13</v>
      </c>
      <c r="L15" s="293">
        <f t="shared" ref="L15:L46" si="6">J15/D15</f>
        <v>0.0713597541922716</v>
      </c>
      <c r="M15" s="294">
        <v>0.2001</v>
      </c>
      <c r="N15" s="294">
        <v>0.1469</v>
      </c>
      <c r="O15" s="289">
        <v>80</v>
      </c>
      <c r="P15" s="294">
        <v>0.0104</v>
      </c>
      <c r="Q15" s="294">
        <v>0.3008</v>
      </c>
      <c r="R15" s="294">
        <v>0.9582</v>
      </c>
      <c r="S15" s="289">
        <v>0.64</v>
      </c>
      <c r="T15" s="289">
        <v>1250</v>
      </c>
      <c r="U15" s="294">
        <v>0.1824</v>
      </c>
      <c r="Y15" s="297">
        <f>推广数据统计!AB16</f>
        <v>144</v>
      </c>
      <c r="AC15" s="292">
        <f>推广数据统计!B16+推广数据统计!AS16+推广数据统计!AV16+推广数据统计!BA16+推广数据统计!BF16</f>
        <v>15583.28</v>
      </c>
    </row>
    <row r="16" ht="14.5" spans="1:31">
      <c r="A16" s="285">
        <v>14</v>
      </c>
      <c r="B16" s="286">
        <v>45490</v>
      </c>
      <c r="D16" s="288"/>
      <c r="F16" s="290">
        <f t="shared" si="1"/>
        <v>24579.49</v>
      </c>
      <c r="G16" s="291">
        <f t="shared" si="2"/>
        <v>0</v>
      </c>
      <c r="H16" s="291">
        <f t="shared" si="5"/>
        <v>-0.110335487025972</v>
      </c>
      <c r="I16" s="288"/>
      <c r="J16" s="292">
        <f>VLOOKUP(B16,推广数据统计!$A:$AB,23,FALSE)</f>
        <v>2711.99</v>
      </c>
      <c r="K16" s="290">
        <f t="shared" si="3"/>
        <v>-2711.99</v>
      </c>
      <c r="L16" s="293" t="e">
        <f t="shared" si="6"/>
        <v>#DIV/0!</v>
      </c>
      <c r="M16" s="302"/>
      <c r="N16" s="294"/>
      <c r="O16" s="289"/>
      <c r="P16" s="294"/>
      <c r="Q16" s="294"/>
      <c r="R16" s="294"/>
      <c r="S16" s="289"/>
      <c r="T16" s="289"/>
      <c r="U16" s="294"/>
      <c r="Y16" s="297">
        <f>推广数据统计!AB17</f>
        <v>166</v>
      </c>
      <c r="AC16" s="292">
        <f>推广数据统计!B17+推广数据统计!AS17+推广数据统计!AV17+推广数据统计!BA17+推广数据统计!BF17</f>
        <v>24579.49</v>
      </c>
    </row>
    <row r="17" ht="14.5" spans="1:29">
      <c r="A17" s="285">
        <v>15</v>
      </c>
      <c r="B17" s="286">
        <v>45491</v>
      </c>
      <c r="F17" s="290">
        <f t="shared" si="1"/>
        <v>32817.03</v>
      </c>
      <c r="G17" s="291">
        <f t="shared" si="2"/>
        <v>0</v>
      </c>
      <c r="H17" s="291">
        <f t="shared" si="5"/>
        <v>-0.0815305346035275</v>
      </c>
      <c r="I17" s="288"/>
      <c r="J17" s="292">
        <f>VLOOKUP(B17,推广数据统计!$A:$AB,23,FALSE)</f>
        <v>2675.59</v>
      </c>
      <c r="K17" s="290">
        <f t="shared" si="3"/>
        <v>-2675.59</v>
      </c>
      <c r="L17" s="293" t="e">
        <f t="shared" si="6"/>
        <v>#DIV/0!</v>
      </c>
      <c r="M17" s="294"/>
      <c r="N17" s="294"/>
      <c r="O17" s="289"/>
      <c r="P17" s="294"/>
      <c r="Q17" s="294"/>
      <c r="R17" s="294"/>
      <c r="S17" s="289"/>
      <c r="T17" s="289"/>
      <c r="U17" s="294"/>
      <c r="Y17" s="297">
        <f>推广数据统计!AB18</f>
        <v>174</v>
      </c>
      <c r="AC17" s="292">
        <f>推广数据统计!B18+推广数据统计!AS18+推广数据统计!AV18+推广数据统计!BA18+推广数据统计!BF18</f>
        <v>32817.03</v>
      </c>
    </row>
    <row r="18" ht="14.5" spans="1:29">
      <c r="A18" s="285">
        <v>16</v>
      </c>
      <c r="B18" s="286">
        <v>45492</v>
      </c>
      <c r="F18" s="290">
        <f t="shared" si="1"/>
        <v>44176.17</v>
      </c>
      <c r="G18" s="291">
        <f t="shared" si="2"/>
        <v>0</v>
      </c>
      <c r="H18" s="291">
        <f t="shared" si="5"/>
        <v>-0.0825322792808883</v>
      </c>
      <c r="I18" s="288"/>
      <c r="J18" s="292">
        <f>VLOOKUP(B18,推广数据统计!$A:$AB,23,FALSE)</f>
        <v>3645.96</v>
      </c>
      <c r="K18" s="290">
        <f t="shared" si="3"/>
        <v>-3645.96</v>
      </c>
      <c r="L18" s="293" t="e">
        <f t="shared" si="6"/>
        <v>#DIV/0!</v>
      </c>
      <c r="M18" s="294"/>
      <c r="N18" s="294"/>
      <c r="O18" s="289"/>
      <c r="P18" s="294"/>
      <c r="Q18" s="294"/>
      <c r="R18" s="294"/>
      <c r="S18" s="289"/>
      <c r="T18" s="289"/>
      <c r="U18" s="294"/>
      <c r="Y18" s="297">
        <f>推广数据统计!AB19</f>
        <v>274</v>
      </c>
      <c r="AC18" s="292">
        <f>推广数据统计!B19+推广数据统计!AS19+推广数据统计!AV19+推广数据统计!BA19+推广数据统计!BF19</f>
        <v>44176.17</v>
      </c>
    </row>
    <row r="19" ht="14.5" spans="1:29">
      <c r="A19" s="285">
        <v>17</v>
      </c>
      <c r="B19" s="286">
        <v>45493</v>
      </c>
      <c r="F19" s="290">
        <f t="shared" si="1"/>
        <v>54941.68</v>
      </c>
      <c r="G19" s="291">
        <f t="shared" si="2"/>
        <v>0</v>
      </c>
      <c r="H19" s="291">
        <f t="shared" si="5"/>
        <v>-0.0880346214385873</v>
      </c>
      <c r="J19" s="292">
        <f>VLOOKUP(B19,推广数据统计!$A:$AB,23,FALSE)</f>
        <v>4836.77</v>
      </c>
      <c r="K19" s="290">
        <f t="shared" si="3"/>
        <v>-4836.77</v>
      </c>
      <c r="L19" s="293" t="e">
        <f t="shared" si="6"/>
        <v>#DIV/0!</v>
      </c>
      <c r="Y19" s="297">
        <f>推广数据统计!AB20</f>
        <v>335</v>
      </c>
      <c r="AC19" s="292">
        <f>推广数据统计!B20+推广数据统计!AS20+推广数据统计!AV20+推广数据统计!BA20+推广数据统计!BF20</f>
        <v>54941.68</v>
      </c>
    </row>
    <row r="20" ht="14.5" spans="1:29">
      <c r="A20" s="285">
        <v>18</v>
      </c>
      <c r="B20" s="286">
        <v>45494</v>
      </c>
      <c r="F20" s="290">
        <f t="shared" si="1"/>
        <v>54227.93</v>
      </c>
      <c r="G20" s="291">
        <f t="shared" si="2"/>
        <v>0</v>
      </c>
      <c r="H20" s="291">
        <f t="shared" si="5"/>
        <v>-0.093625923025275</v>
      </c>
      <c r="J20" s="292">
        <f>VLOOKUP(B20,推广数据统计!$A:$AB,23,FALSE)</f>
        <v>5077.14</v>
      </c>
      <c r="K20" s="290">
        <f t="shared" si="3"/>
        <v>-5077.14</v>
      </c>
      <c r="L20" s="293" t="e">
        <f t="shared" si="6"/>
        <v>#DIV/0!</v>
      </c>
      <c r="Y20" s="297">
        <f>推广数据统计!AB21</f>
        <v>298</v>
      </c>
      <c r="AC20" s="292">
        <f>推广数据统计!B21+推广数据统计!AS21+推广数据统计!AV21+推广数据统计!BA21+推广数据统计!BF21</f>
        <v>54227.93</v>
      </c>
    </row>
    <row r="21" ht="14.5" spans="1:29">
      <c r="A21" s="285">
        <v>19</v>
      </c>
      <c r="B21" s="286">
        <v>45495</v>
      </c>
      <c r="F21" s="290">
        <f t="shared" si="1"/>
        <v>46829.93</v>
      </c>
      <c r="G21" s="291">
        <f t="shared" si="2"/>
        <v>0</v>
      </c>
      <c r="H21" s="291">
        <f t="shared" si="5"/>
        <v>-0.11025171295366</v>
      </c>
      <c r="J21" s="292">
        <f>VLOOKUP(B21,推广数据统计!$A:$AB,23,FALSE)</f>
        <v>5163.08</v>
      </c>
      <c r="K21" s="290">
        <f t="shared" si="3"/>
        <v>-5163.08</v>
      </c>
      <c r="L21" s="293" t="e">
        <f t="shared" si="6"/>
        <v>#DIV/0!</v>
      </c>
      <c r="Y21" s="297">
        <f>推广数据统计!AB22</f>
        <v>310</v>
      </c>
      <c r="AC21" s="292">
        <f>推广数据统计!B22+推广数据统计!AS22+推广数据统计!AV22+推广数据统计!BA22+推广数据统计!BF22</f>
        <v>46829.93</v>
      </c>
    </row>
    <row r="22" ht="14.5" spans="1:29">
      <c r="A22" s="285">
        <v>20</v>
      </c>
      <c r="B22" s="286">
        <v>45496</v>
      </c>
      <c r="F22" s="290">
        <f t="shared" si="1"/>
        <v>34116.2</v>
      </c>
      <c r="G22" s="291">
        <f t="shared" ref="G22:G53" si="7">D22/F22</f>
        <v>0</v>
      </c>
      <c r="H22" s="291">
        <f t="shared" si="5"/>
        <v>-0.0882237763877571</v>
      </c>
      <c r="J22" s="292">
        <f>VLOOKUP(B22,推广数据统计!$A:$AB,23,FALSE)</f>
        <v>3009.86</v>
      </c>
      <c r="K22" s="290">
        <f t="shared" si="3"/>
        <v>-3009.86</v>
      </c>
      <c r="L22" s="293" t="e">
        <f t="shared" si="6"/>
        <v>#DIV/0!</v>
      </c>
      <c r="Y22" s="297">
        <f>推广数据统计!AB23</f>
        <v>227</v>
      </c>
      <c r="AC22" s="292">
        <f>推广数据统计!B23+推广数据统计!AS23+推广数据统计!AV23+推广数据统计!BA23+推广数据统计!BF23</f>
        <v>34116.2</v>
      </c>
    </row>
    <row r="23" ht="14.5" spans="1:29">
      <c r="A23" s="285">
        <v>21</v>
      </c>
      <c r="B23" s="286">
        <v>45497</v>
      </c>
      <c r="F23" s="290">
        <f t="shared" si="1"/>
        <v>25385.6</v>
      </c>
      <c r="G23" s="291">
        <f t="shared" si="7"/>
        <v>0</v>
      </c>
      <c r="H23" s="291">
        <f t="shared" si="5"/>
        <v>-0.107568464011093</v>
      </c>
      <c r="J23" s="292">
        <f>VLOOKUP(B23,推广数据统计!$A:$AB,23,FALSE)</f>
        <v>2730.69</v>
      </c>
      <c r="K23" s="290">
        <f t="shared" si="3"/>
        <v>-2730.69</v>
      </c>
      <c r="L23" s="293" t="e">
        <f t="shared" si="6"/>
        <v>#DIV/0!</v>
      </c>
      <c r="Y23" s="297">
        <f>推广数据统计!AB24</f>
        <v>134</v>
      </c>
      <c r="AC23" s="292">
        <f>推广数据统计!B24+推广数据统计!AS24+推广数据统计!AV24+推广数据统计!BA24+推广数据统计!BF24</f>
        <v>25385.6</v>
      </c>
    </row>
    <row r="24" ht="14.5" spans="1:29">
      <c r="A24" s="285">
        <v>22</v>
      </c>
      <c r="B24" s="286">
        <v>45498</v>
      </c>
      <c r="F24" s="290">
        <f t="shared" si="1"/>
        <v>17794.57</v>
      </c>
      <c r="G24" s="291">
        <f t="shared" si="7"/>
        <v>0</v>
      </c>
      <c r="H24" s="291">
        <f t="shared" si="5"/>
        <v>-0.0766913727052691</v>
      </c>
      <c r="J24" s="292">
        <f>VLOOKUP(B24,推广数据统计!$A:$AB,23,FALSE)</f>
        <v>1364.69</v>
      </c>
      <c r="K24" s="290">
        <f t="shared" si="3"/>
        <v>-1364.69</v>
      </c>
      <c r="L24" s="293" t="e">
        <f t="shared" si="6"/>
        <v>#DIV/0!</v>
      </c>
      <c r="Y24" s="297">
        <f>推广数据统计!AB25</f>
        <v>82</v>
      </c>
      <c r="AC24" s="292">
        <f>推广数据统计!B25+推广数据统计!AS25+推广数据统计!AV25+推广数据统计!BA25+推广数据统计!BF25</f>
        <v>17794.57</v>
      </c>
    </row>
    <row r="25" ht="14.5" spans="1:29">
      <c r="A25" s="285">
        <v>23</v>
      </c>
      <c r="B25" s="286">
        <v>45499</v>
      </c>
      <c r="F25" s="290">
        <f t="shared" si="1"/>
        <v>0</v>
      </c>
      <c r="G25" s="291" t="e">
        <f t="shared" si="7"/>
        <v>#DIV/0!</v>
      </c>
      <c r="H25" s="291" t="e">
        <f t="shared" si="5"/>
        <v>#DIV/0!</v>
      </c>
      <c r="J25" s="292">
        <f>VLOOKUP(B25,推广数据统计!$A:$AB,23,FALSE)</f>
        <v>0</v>
      </c>
      <c r="K25" s="290">
        <f t="shared" si="3"/>
        <v>0</v>
      </c>
      <c r="L25" s="293" t="e">
        <f t="shared" si="6"/>
        <v>#DIV/0!</v>
      </c>
      <c r="Y25" s="297">
        <f>推广数据统计!AB26</f>
        <v>4</v>
      </c>
      <c r="AC25" s="292">
        <f>推广数据统计!B26+推广数据统计!AS26+推广数据统计!AV26+推广数据统计!BA26+推广数据统计!BF26</f>
        <v>0</v>
      </c>
    </row>
    <row r="26" ht="14.5" spans="1:29">
      <c r="A26" s="285">
        <v>24</v>
      </c>
      <c r="B26" s="286">
        <v>45500</v>
      </c>
      <c r="F26" s="290">
        <f t="shared" si="1"/>
        <v>0</v>
      </c>
      <c r="G26" s="291" t="e">
        <f t="shared" si="7"/>
        <v>#DIV/0!</v>
      </c>
      <c r="H26" s="291" t="e">
        <f t="shared" si="5"/>
        <v>#DIV/0!</v>
      </c>
      <c r="J26" s="292">
        <f>VLOOKUP(B26,推广数据统计!$A:$AB,23,FALSE)</f>
        <v>0</v>
      </c>
      <c r="K26" s="290">
        <f t="shared" si="3"/>
        <v>0</v>
      </c>
      <c r="L26" s="293" t="e">
        <f t="shared" si="6"/>
        <v>#DIV/0!</v>
      </c>
      <c r="Y26" s="297">
        <f>推广数据统计!AB27</f>
        <v>1</v>
      </c>
      <c r="AC26" s="292">
        <f>推广数据统计!B27+推广数据统计!AS27+推广数据统计!AV27+推广数据统计!BA27+推广数据统计!BF27</f>
        <v>0</v>
      </c>
    </row>
    <row r="27" ht="14.5" spans="1:29">
      <c r="A27" s="285">
        <v>25</v>
      </c>
      <c r="B27" s="286">
        <v>45501</v>
      </c>
      <c r="F27" s="290">
        <f t="shared" si="1"/>
        <v>0</v>
      </c>
      <c r="G27" s="291" t="e">
        <f t="shared" si="7"/>
        <v>#DIV/0!</v>
      </c>
      <c r="H27" s="291" t="e">
        <f t="shared" si="5"/>
        <v>#DIV/0!</v>
      </c>
      <c r="J27" s="292">
        <f>VLOOKUP(B27,推广数据统计!$A:$AB,23,FALSE)</f>
        <v>0</v>
      </c>
      <c r="K27" s="290">
        <f t="shared" si="3"/>
        <v>0</v>
      </c>
      <c r="L27" s="293" t="e">
        <f t="shared" si="6"/>
        <v>#DIV/0!</v>
      </c>
      <c r="Y27" s="297">
        <f>推广数据统计!AB28</f>
        <v>2</v>
      </c>
      <c r="AC27" s="292">
        <f>推广数据统计!B28+推广数据统计!AS28+推广数据统计!AV28+推广数据统计!BA28+推广数据统计!BF28</f>
        <v>0</v>
      </c>
    </row>
    <row r="28" ht="14.5" spans="1:29">
      <c r="A28" s="285">
        <v>26</v>
      </c>
      <c r="B28" s="286">
        <v>45502</v>
      </c>
      <c r="F28" s="290">
        <f t="shared" si="1"/>
        <v>0</v>
      </c>
      <c r="G28" s="291" t="e">
        <f t="shared" si="7"/>
        <v>#DIV/0!</v>
      </c>
      <c r="H28" s="291" t="e">
        <f t="shared" si="5"/>
        <v>#DIV/0!</v>
      </c>
      <c r="J28" s="292">
        <f>VLOOKUP(B28,推广数据统计!$A:$AB,23,FALSE)</f>
        <v>0</v>
      </c>
      <c r="K28" s="290">
        <f t="shared" ref="K28:K50" si="8">D28-J28</f>
        <v>0</v>
      </c>
      <c r="L28" s="293" t="e">
        <f t="shared" si="6"/>
        <v>#DIV/0!</v>
      </c>
      <c r="Y28" s="297">
        <f>推广数据统计!AB29</f>
        <v>0</v>
      </c>
      <c r="AC28" s="292">
        <f>推广数据统计!B29+推广数据统计!AS29+推广数据统计!AV29+推广数据统计!BA29+推广数据统计!BF29</f>
        <v>0</v>
      </c>
    </row>
    <row r="29" ht="14.5" spans="1:29">
      <c r="A29" s="285">
        <v>27</v>
      </c>
      <c r="B29" s="286">
        <v>45503</v>
      </c>
      <c r="F29" s="290">
        <f t="shared" si="1"/>
        <v>44332.69</v>
      </c>
      <c r="G29" s="291">
        <f t="shared" si="7"/>
        <v>0</v>
      </c>
      <c r="H29" s="291">
        <f t="shared" si="5"/>
        <v>-0.0963604960583263</v>
      </c>
      <c r="J29" s="292">
        <f>VLOOKUP(B29,推广数据统计!$A:$AB,23,FALSE)</f>
        <v>4271.92</v>
      </c>
      <c r="K29" s="290">
        <f t="shared" si="8"/>
        <v>-4271.92</v>
      </c>
      <c r="L29" s="293" t="e">
        <f t="shared" si="6"/>
        <v>#DIV/0!</v>
      </c>
      <c r="Y29" s="297">
        <f>推广数据统计!AB30</f>
        <v>230</v>
      </c>
      <c r="AC29" s="292">
        <f>推广数据统计!B30+推广数据统计!AS30+推广数据统计!AV30+推广数据统计!BA30+推广数据统计!BF30</f>
        <v>44332.69</v>
      </c>
    </row>
    <row r="30" ht="14.5" spans="1:29">
      <c r="A30" s="285">
        <v>28</v>
      </c>
      <c r="B30" s="286">
        <v>45504</v>
      </c>
      <c r="D30" s="288">
        <v>25228</v>
      </c>
      <c r="E30" s="289">
        <v>12</v>
      </c>
      <c r="F30" s="290">
        <f t="shared" si="1"/>
        <v>23709.37</v>
      </c>
      <c r="G30" s="291">
        <f t="shared" si="7"/>
        <v>1.06405189172045</v>
      </c>
      <c r="H30" s="291">
        <f t="shared" si="5"/>
        <v>0.982995330538095</v>
      </c>
      <c r="I30" s="288">
        <v>23700</v>
      </c>
      <c r="J30" s="292">
        <f>VLOOKUP(B30,推广数据统计!$A:$AB,23,FALSE)</f>
        <v>1921.8</v>
      </c>
      <c r="K30" s="290">
        <f t="shared" si="8"/>
        <v>23306.2</v>
      </c>
      <c r="L30" s="293">
        <f t="shared" si="6"/>
        <v>0.0761772633581735</v>
      </c>
      <c r="M30" s="294">
        <v>0.1417</v>
      </c>
      <c r="N30" s="294">
        <v>0.2303</v>
      </c>
      <c r="O30" s="289">
        <v>111</v>
      </c>
      <c r="P30" s="294">
        <v>0.013</v>
      </c>
      <c r="Q30" s="294">
        <v>0.2037</v>
      </c>
      <c r="R30" s="294">
        <v>0.9182</v>
      </c>
      <c r="S30" s="289">
        <v>1.06</v>
      </c>
      <c r="T30" s="289">
        <v>997</v>
      </c>
      <c r="U30" s="294">
        <v>0.042</v>
      </c>
      <c r="Y30" s="297">
        <f>推广数据统计!AB31</f>
        <v>96</v>
      </c>
      <c r="AC30" s="292">
        <f>推广数据统计!B31+推广数据统计!AS31+推广数据统计!AV31+推广数据统计!BA31+推广数据统计!BF31</f>
        <v>23709.37</v>
      </c>
    </row>
    <row r="31" ht="14.5" spans="1:29">
      <c r="A31" s="285">
        <v>29</v>
      </c>
      <c r="B31" s="286">
        <v>45505</v>
      </c>
      <c r="D31" s="288">
        <v>26075.59</v>
      </c>
      <c r="E31" s="289">
        <v>12</v>
      </c>
      <c r="F31" s="290">
        <f t="shared" si="1"/>
        <v>21600.16</v>
      </c>
      <c r="G31" s="291">
        <f t="shared" si="7"/>
        <v>1.20719429856075</v>
      </c>
      <c r="H31" s="291">
        <f t="shared" si="5"/>
        <v>1.10791262657314</v>
      </c>
      <c r="I31" s="288">
        <v>21800</v>
      </c>
      <c r="J31" s="292">
        <f>VLOOKUP(B31,推广数据统计!$A:$AB,23,FALSE)</f>
        <v>2144.5</v>
      </c>
      <c r="K31" s="290">
        <f t="shared" si="8"/>
        <v>23931.09</v>
      </c>
      <c r="L31" s="293">
        <f t="shared" si="6"/>
        <v>0.0822416673985133</v>
      </c>
      <c r="M31" s="302">
        <v>0.1349</v>
      </c>
      <c r="N31" s="294">
        <v>0.2213</v>
      </c>
      <c r="O31" s="289">
        <v>115</v>
      </c>
      <c r="P31" s="294">
        <v>0.0147</v>
      </c>
      <c r="Q31" s="294">
        <v>0.2298</v>
      </c>
      <c r="R31" s="294">
        <v>0.9273</v>
      </c>
      <c r="S31" s="289">
        <v>1.2</v>
      </c>
      <c r="T31" s="289">
        <v>882</v>
      </c>
      <c r="U31" s="294">
        <v>0.04</v>
      </c>
      <c r="Y31" s="297">
        <f>推广数据统计!AB32</f>
        <v>108</v>
      </c>
      <c r="AC31" s="292">
        <f>推广数据统计!B32+推广数据统计!AS32+推广数据统计!AV32+推广数据统计!BA32+推广数据统计!BF32</f>
        <v>21600.16</v>
      </c>
    </row>
    <row r="32" ht="14.5" spans="1:29">
      <c r="A32" s="285">
        <v>30</v>
      </c>
      <c r="B32" s="286">
        <v>45506</v>
      </c>
      <c r="D32" s="288">
        <v>48396.55</v>
      </c>
      <c r="E32" s="289">
        <v>12</v>
      </c>
      <c r="F32" s="290">
        <f t="shared" si="1"/>
        <v>38257.64</v>
      </c>
      <c r="G32" s="291">
        <f t="shared" si="7"/>
        <v>1.26501660844736</v>
      </c>
      <c r="H32" s="291">
        <f t="shared" si="5"/>
        <v>1.15744750590993</v>
      </c>
      <c r="I32" s="288">
        <v>29000</v>
      </c>
      <c r="J32" s="292">
        <f>VLOOKUP(B32,推广数据统计!$A:$AB,23,FALSE)</f>
        <v>4115.34</v>
      </c>
      <c r="K32" s="290">
        <f t="shared" si="8"/>
        <v>44281.21</v>
      </c>
      <c r="L32" s="293">
        <f t="shared" si="6"/>
        <v>0.0850337472402475</v>
      </c>
      <c r="M32" s="294">
        <v>0.0991</v>
      </c>
      <c r="N32" s="294">
        <v>0.1887</v>
      </c>
      <c r="O32" s="289">
        <v>97</v>
      </c>
      <c r="P32" s="294">
        <v>0.0206</v>
      </c>
      <c r="Q32" s="294">
        <v>0.3414</v>
      </c>
      <c r="R32" s="294">
        <v>0.9498</v>
      </c>
      <c r="S32" s="289">
        <v>1.67</v>
      </c>
      <c r="T32" s="289">
        <v>1272</v>
      </c>
      <c r="U32" s="294">
        <v>0.043</v>
      </c>
      <c r="Y32" s="297">
        <f>推广数据统计!AB33</f>
        <v>210</v>
      </c>
      <c r="AC32" s="292">
        <f>推广数据统计!B33+推广数据统计!AS33+推广数据统计!AV33+推广数据统计!BA33+推广数据统计!BF33</f>
        <v>38257.64</v>
      </c>
    </row>
    <row r="33" ht="14.5" spans="1:29">
      <c r="A33" s="285">
        <v>31</v>
      </c>
      <c r="B33" s="286">
        <v>45507</v>
      </c>
      <c r="D33" s="288">
        <v>30718.92</v>
      </c>
      <c r="E33" s="289">
        <v>12</v>
      </c>
      <c r="F33" s="290">
        <f t="shared" si="1"/>
        <v>23669.17</v>
      </c>
      <c r="G33" s="291">
        <f t="shared" si="7"/>
        <v>1.29784525608629</v>
      </c>
      <c r="H33" s="291">
        <f t="shared" si="5"/>
        <v>1.19147481724116</v>
      </c>
      <c r="I33" s="288">
        <v>25600</v>
      </c>
      <c r="J33" s="292">
        <f>VLOOKUP(B33,推广数据统计!$A:$AB,23,FALSE)</f>
        <v>2517.7</v>
      </c>
      <c r="K33" s="290">
        <f t="shared" si="8"/>
        <v>28201.22</v>
      </c>
      <c r="L33" s="293">
        <f t="shared" si="6"/>
        <v>0.0819592615886236</v>
      </c>
      <c r="M33" s="294">
        <v>0.142</v>
      </c>
      <c r="N33" s="294">
        <v>0.2041</v>
      </c>
      <c r="O33" s="289">
        <v>102</v>
      </c>
      <c r="P33" s="294">
        <v>0.0145</v>
      </c>
      <c r="Q33" s="294">
        <v>0.3184</v>
      </c>
      <c r="R33" s="294">
        <v>0.9406</v>
      </c>
      <c r="S33" s="289">
        <v>0.83</v>
      </c>
      <c r="T33" s="289">
        <v>1186</v>
      </c>
      <c r="U33" s="294">
        <v>0.0463</v>
      </c>
      <c r="Y33" s="297">
        <f>推广数据统计!AB34</f>
        <v>186</v>
      </c>
      <c r="AC33" s="292">
        <f>推广数据统计!B34+推广数据统计!AS34+推广数据统计!AV34+推广数据统计!BA34+推广数据统计!BF34</f>
        <v>23669.17</v>
      </c>
    </row>
    <row r="34" ht="14.5" spans="1:29">
      <c r="A34" s="285">
        <v>32</v>
      </c>
      <c r="B34" s="286">
        <v>45508</v>
      </c>
      <c r="D34" s="288">
        <v>36422.74</v>
      </c>
      <c r="E34" s="289">
        <v>12</v>
      </c>
      <c r="F34" s="290">
        <f t="shared" si="1"/>
        <v>28453.73</v>
      </c>
      <c r="G34" s="291">
        <f t="shared" si="7"/>
        <v>1.28006908057397</v>
      </c>
      <c r="H34" s="291">
        <f t="shared" si="5"/>
        <v>1.15193227742022</v>
      </c>
      <c r="I34" s="288">
        <v>25400</v>
      </c>
      <c r="J34" s="292">
        <f>VLOOKUP(B34,推广数据统计!$A:$AB,23,FALSE)</f>
        <v>3645.97</v>
      </c>
      <c r="K34" s="290">
        <f t="shared" si="8"/>
        <v>32776.77</v>
      </c>
      <c r="L34" s="293">
        <f t="shared" si="6"/>
        <v>0.100101475067499</v>
      </c>
      <c r="M34" s="294">
        <v>0.1327</v>
      </c>
      <c r="N34" s="294">
        <v>0.177</v>
      </c>
      <c r="O34" s="289">
        <v>96</v>
      </c>
      <c r="P34" s="294">
        <v>0.0176</v>
      </c>
      <c r="Q34" s="294">
        <v>0.4367</v>
      </c>
      <c r="R34" s="294">
        <v>0.8503</v>
      </c>
      <c r="S34" s="289">
        <v>1.43</v>
      </c>
      <c r="T34" s="289">
        <v>964</v>
      </c>
      <c r="U34" s="294">
        <v>0.038</v>
      </c>
      <c r="Y34" s="297">
        <f>推广数据统计!AB35</f>
        <v>192</v>
      </c>
      <c r="AC34" s="292">
        <f>推广数据统计!B35+推广数据统计!AS35+推广数据统计!AV35+推广数据统计!BA35+推广数据统计!BF35</f>
        <v>28453.73</v>
      </c>
    </row>
    <row r="35" ht="14.5" spans="1:29">
      <c r="A35" s="285">
        <v>33</v>
      </c>
      <c r="B35" s="286">
        <v>45509</v>
      </c>
      <c r="D35" s="288">
        <v>28869.95</v>
      </c>
      <c r="E35" s="289">
        <v>12</v>
      </c>
      <c r="F35" s="290">
        <f t="shared" si="1"/>
        <v>23735.73</v>
      </c>
      <c r="G35" s="291">
        <f t="shared" si="7"/>
        <v>1.21630765095491</v>
      </c>
      <c r="H35" s="291">
        <f t="shared" si="5"/>
        <v>1.10233222235002</v>
      </c>
      <c r="I35" s="288">
        <v>24400</v>
      </c>
      <c r="J35" s="292">
        <f>VLOOKUP(B35,推广数据统计!$A:$AB,23,FALSE)</f>
        <v>2705.29</v>
      </c>
      <c r="K35" s="290">
        <f t="shared" si="8"/>
        <v>26164.66</v>
      </c>
      <c r="L35" s="293">
        <f t="shared" si="6"/>
        <v>0.0937060853932896</v>
      </c>
      <c r="M35" s="303">
        <v>0.13</v>
      </c>
      <c r="N35" s="294">
        <v>0.2104</v>
      </c>
      <c r="O35" s="289" t="s">
        <v>55</v>
      </c>
      <c r="P35" s="294">
        <v>0.0143</v>
      </c>
      <c r="Q35" s="294">
        <v>0.2402</v>
      </c>
      <c r="R35" s="294">
        <v>0.9115</v>
      </c>
      <c r="S35" s="289">
        <v>1.18</v>
      </c>
      <c r="T35" s="289">
        <v>943</v>
      </c>
      <c r="U35" s="294">
        <v>0.0386</v>
      </c>
      <c r="Y35" s="297">
        <f>推广数据统计!AB36</f>
        <v>139</v>
      </c>
      <c r="AC35" s="292">
        <f>推广数据统计!B36+推广数据统计!AS36+推广数据统计!AV36+推广数据统计!BA36+推广数据统计!BF36</f>
        <v>23735.73</v>
      </c>
    </row>
    <row r="36" ht="14.5" spans="1:29">
      <c r="A36" s="285">
        <v>34</v>
      </c>
      <c r="B36" s="286">
        <v>45510</v>
      </c>
      <c r="D36" s="288">
        <v>86992.7</v>
      </c>
      <c r="E36" s="289">
        <v>18</v>
      </c>
      <c r="F36" s="290">
        <f t="shared" ref="F36:F67" si="9">AC36+AD36+AE36</f>
        <v>70638.86</v>
      </c>
      <c r="G36" s="291">
        <f t="shared" si="7"/>
        <v>1.23151336247499</v>
      </c>
      <c r="H36" s="291">
        <f t="shared" si="5"/>
        <v>1.12182472933453</v>
      </c>
      <c r="I36" s="288">
        <v>68000</v>
      </c>
      <c r="J36" s="292">
        <f>VLOOKUP(B36,推广数据统计!$A:$AB,23,FALSE)</f>
        <v>7748.28</v>
      </c>
      <c r="K36" s="290">
        <f t="shared" si="8"/>
        <v>79244.42</v>
      </c>
      <c r="L36" s="293">
        <f t="shared" si="6"/>
        <v>0.0890681631907045</v>
      </c>
      <c r="M36" s="303">
        <v>0.06</v>
      </c>
      <c r="N36" s="294">
        <v>0.1209</v>
      </c>
      <c r="O36" s="289">
        <v>67</v>
      </c>
      <c r="P36" s="294">
        <v>0.0158</v>
      </c>
      <c r="Q36" s="294">
        <v>0.3547</v>
      </c>
      <c r="R36" s="294">
        <v>0.9139</v>
      </c>
      <c r="S36" s="289">
        <v>1.28</v>
      </c>
      <c r="T36" s="289">
        <v>2634</v>
      </c>
      <c r="U36" s="294">
        <v>0.0387</v>
      </c>
      <c r="Y36" s="297">
        <f>推广数据统计!AB37</f>
        <v>407</v>
      </c>
      <c r="AC36" s="292">
        <f>推广数据统计!B37+推广数据统计!AS37+推广数据统计!AV37+推广数据统计!BA37+推广数据统计!BF37</f>
        <v>70638.86</v>
      </c>
    </row>
    <row r="37" ht="14.5" spans="1:29">
      <c r="A37" s="285">
        <v>35</v>
      </c>
      <c r="B37" s="286">
        <v>45511</v>
      </c>
      <c r="C37" s="304" t="s">
        <v>56</v>
      </c>
      <c r="D37" s="288">
        <v>670529</v>
      </c>
      <c r="E37" s="289">
        <v>18</v>
      </c>
      <c r="F37" s="290">
        <f t="shared" si="9"/>
        <v>586705.92</v>
      </c>
      <c r="G37" s="291">
        <f t="shared" si="7"/>
        <v>1.14287069065197</v>
      </c>
      <c r="H37" s="291">
        <f t="shared" si="5"/>
        <v>1.00176677951366</v>
      </c>
      <c r="I37" s="288">
        <v>440200</v>
      </c>
      <c r="J37" s="292">
        <f>VLOOKUP(B37,推广数据统计!$A:$AB,23,FALSE)</f>
        <v>82786.5</v>
      </c>
      <c r="K37" s="290">
        <f t="shared" si="8"/>
        <v>587742.5</v>
      </c>
      <c r="L37" s="293">
        <f t="shared" si="6"/>
        <v>0.12346445865876</v>
      </c>
      <c r="M37" s="303">
        <v>0.05</v>
      </c>
      <c r="N37" s="294">
        <v>0.0341</v>
      </c>
      <c r="O37" s="289">
        <v>53</v>
      </c>
      <c r="P37" s="294">
        <v>0.0182</v>
      </c>
      <c r="Q37" s="294">
        <v>0.8444</v>
      </c>
      <c r="R37" s="294">
        <v>0.9363</v>
      </c>
      <c r="S37" s="289">
        <v>1.52</v>
      </c>
      <c r="T37" s="289">
        <v>6251</v>
      </c>
      <c r="U37" s="294">
        <v>0.0142</v>
      </c>
      <c r="Y37" s="297">
        <f>推广数据统计!AB38</f>
        <v>3588</v>
      </c>
      <c r="AC37" s="292">
        <f>推广数据统计!B38+推广数据统计!AS38+推广数据统计!AV38+推广数据统计!BA38+推广数据统计!BF38</f>
        <v>586705.92</v>
      </c>
    </row>
    <row r="38" ht="14.5" spans="1:29">
      <c r="A38" s="285">
        <v>36</v>
      </c>
      <c r="B38" s="286">
        <v>45512</v>
      </c>
      <c r="D38" s="288">
        <v>95408.99</v>
      </c>
      <c r="E38" s="289">
        <v>18</v>
      </c>
      <c r="F38" s="290">
        <f t="shared" si="9"/>
        <v>73848.19</v>
      </c>
      <c r="G38" s="291">
        <f t="shared" si="7"/>
        <v>1.29196111644713</v>
      </c>
      <c r="H38" s="291">
        <f t="shared" si="5"/>
        <v>1.15023658670578</v>
      </c>
      <c r="I38" s="288">
        <v>64000</v>
      </c>
      <c r="J38" s="292">
        <f>VLOOKUP(B38,推广数据统计!$A:$AB,23,FALSE)</f>
        <v>10466.1</v>
      </c>
      <c r="K38" s="290">
        <f t="shared" si="8"/>
        <v>84942.89</v>
      </c>
      <c r="L38" s="293">
        <f t="shared" si="6"/>
        <v>0.109697209875086</v>
      </c>
      <c r="M38" s="294">
        <v>0.1043</v>
      </c>
      <c r="N38" s="294">
        <v>0.1191</v>
      </c>
      <c r="O38" s="289" t="s">
        <v>57</v>
      </c>
      <c r="P38" s="294">
        <v>0.0178</v>
      </c>
      <c r="Q38" s="294">
        <v>0.4901</v>
      </c>
      <c r="R38" s="294">
        <v>0.9261</v>
      </c>
      <c r="S38" s="289">
        <v>1.49</v>
      </c>
      <c r="T38" s="289">
        <v>1795</v>
      </c>
      <c r="U38" s="294">
        <v>0.0281</v>
      </c>
      <c r="Y38" s="297">
        <f>推广数据统计!AB39</f>
        <v>417</v>
      </c>
      <c r="AC38" s="292">
        <f>推广数据统计!B39+推广数据统计!AS39+推广数据统计!AV39+推广数据统计!BA39+推广数据统计!BF39</f>
        <v>73848.19</v>
      </c>
    </row>
    <row r="39" ht="14.5" spans="1:29">
      <c r="A39" s="285">
        <v>37</v>
      </c>
      <c r="B39" s="286">
        <v>45513</v>
      </c>
      <c r="D39" s="288">
        <v>160390</v>
      </c>
      <c r="E39" s="289">
        <v>18</v>
      </c>
      <c r="F39" s="290">
        <f t="shared" si="9"/>
        <v>127284.19</v>
      </c>
      <c r="G39" s="291">
        <f t="shared" si="7"/>
        <v>1.26009365342231</v>
      </c>
      <c r="H39" s="291">
        <f t="shared" si="5"/>
        <v>1.12554740694818</v>
      </c>
      <c r="I39" s="288">
        <v>65900</v>
      </c>
      <c r="J39" s="292">
        <f>VLOOKUP(B39,推广数据统计!$A:$AB,23,FALSE)</f>
        <v>17125.61</v>
      </c>
      <c r="K39" s="290">
        <f t="shared" si="8"/>
        <v>143264.39</v>
      </c>
      <c r="L39" s="293">
        <f t="shared" si="6"/>
        <v>0.106774798927614</v>
      </c>
      <c r="M39" s="294">
        <v>0.086</v>
      </c>
      <c r="N39" s="294">
        <v>0.1111</v>
      </c>
      <c r="O39" s="289">
        <v>73</v>
      </c>
      <c r="P39" s="294">
        <v>0.029</v>
      </c>
      <c r="Q39" s="294">
        <v>0.5603</v>
      </c>
      <c r="R39" s="294">
        <v>0.9717</v>
      </c>
      <c r="S39" s="289">
        <v>2.43</v>
      </c>
      <c r="T39" s="289">
        <v>1759</v>
      </c>
      <c r="U39" s="294">
        <v>0.0281</v>
      </c>
      <c r="Y39" s="297">
        <f>推广数据统计!AB40</f>
        <v>578</v>
      </c>
      <c r="AC39" s="292">
        <f>推广数据统计!B40+推广数据统计!AS40+推广数据统计!AV40+推广数据统计!BA40+推广数据统计!BF40</f>
        <v>127284.19</v>
      </c>
    </row>
    <row r="40" ht="14.5" spans="1:29">
      <c r="A40" s="285">
        <v>38</v>
      </c>
      <c r="B40" s="286">
        <v>45514</v>
      </c>
      <c r="D40" s="288">
        <v>112430</v>
      </c>
      <c r="E40" s="289">
        <v>18</v>
      </c>
      <c r="F40" s="290">
        <f t="shared" si="9"/>
        <v>87943.24</v>
      </c>
      <c r="G40" s="291">
        <f t="shared" si="7"/>
        <v>1.27843822902135</v>
      </c>
      <c r="H40" s="291">
        <f t="shared" si="5"/>
        <v>1.15916675346508</v>
      </c>
      <c r="I40" s="288">
        <v>47700</v>
      </c>
      <c r="J40" s="292">
        <f>VLOOKUP(B40,推广数据统计!$A:$AB,23,FALSE)</f>
        <v>10489.12</v>
      </c>
      <c r="K40" s="290">
        <f t="shared" si="8"/>
        <v>101940.88</v>
      </c>
      <c r="L40" s="293">
        <f t="shared" si="6"/>
        <v>0.0932946722405052</v>
      </c>
      <c r="M40" s="294">
        <v>0.1013</v>
      </c>
      <c r="N40" s="294">
        <v>0.1291</v>
      </c>
      <c r="O40" s="289">
        <v>81</v>
      </c>
      <c r="P40" s="294">
        <v>0.0288</v>
      </c>
      <c r="Q40" s="294">
        <v>0.4851</v>
      </c>
      <c r="R40" s="294">
        <v>0.9621</v>
      </c>
      <c r="S40" s="289">
        <v>2.36</v>
      </c>
      <c r="T40" s="289">
        <v>1309</v>
      </c>
      <c r="U40" s="294">
        <v>0.0281</v>
      </c>
      <c r="Y40" s="297">
        <f>推广数据统计!AB41</f>
        <v>416</v>
      </c>
      <c r="AC40" s="292">
        <f>推广数据统计!B41+推广数据统计!AS41+推广数据统计!AV41+推广数据统计!BA41+推广数据统计!BF41</f>
        <v>87943.24</v>
      </c>
    </row>
    <row r="41" ht="14.5" spans="1:29">
      <c r="A41" s="285">
        <v>39</v>
      </c>
      <c r="B41" s="286">
        <v>45515</v>
      </c>
      <c r="D41" s="288">
        <v>160073</v>
      </c>
      <c r="E41" s="289">
        <v>18</v>
      </c>
      <c r="F41" s="290">
        <f t="shared" si="9"/>
        <v>118422.81</v>
      </c>
      <c r="G41" s="291">
        <f t="shared" si="7"/>
        <v>1.35170749621631</v>
      </c>
      <c r="H41" s="291">
        <f t="shared" ref="H41:H72" si="10">K41/F41</f>
        <v>1.20759640815819</v>
      </c>
      <c r="I41" s="288">
        <v>68900</v>
      </c>
      <c r="J41" s="292">
        <f>VLOOKUP(B41,推广数据统计!$A:$AB,23,FALSE)</f>
        <v>17066.04</v>
      </c>
      <c r="K41" s="290">
        <f t="shared" si="8"/>
        <v>143006.96</v>
      </c>
      <c r="L41" s="293">
        <f t="shared" si="6"/>
        <v>0.106614107313538</v>
      </c>
      <c r="M41" s="294">
        <v>0.1159</v>
      </c>
      <c r="N41" s="294">
        <v>0.1203</v>
      </c>
      <c r="O41" s="289">
        <v>96</v>
      </c>
      <c r="P41" s="294">
        <v>0.0273</v>
      </c>
      <c r="Q41" s="294">
        <v>0.7162</v>
      </c>
      <c r="R41" s="294">
        <v>0.9635</v>
      </c>
      <c r="S41" s="289">
        <v>2.32</v>
      </c>
      <c r="T41" s="289">
        <v>1400</v>
      </c>
      <c r="U41" s="294">
        <v>0.0203</v>
      </c>
      <c r="Y41" s="297">
        <f>推广数据统计!AB42</f>
        <v>539</v>
      </c>
      <c r="AC41" s="292">
        <f>推广数据统计!B42+推广数据统计!AS42+推广数据统计!AV42+推广数据统计!BA42+推广数据统计!BF42</f>
        <v>118422.81</v>
      </c>
    </row>
    <row r="42" ht="14.5" spans="1:29">
      <c r="A42" s="285">
        <v>40</v>
      </c>
      <c r="B42" s="286">
        <v>45516</v>
      </c>
      <c r="D42" s="288">
        <v>112462.3</v>
      </c>
      <c r="E42" s="289">
        <v>18</v>
      </c>
      <c r="F42" s="290">
        <f t="shared" si="9"/>
        <v>83163.35</v>
      </c>
      <c r="G42" s="291">
        <f t="shared" si="7"/>
        <v>1.35230603384784</v>
      </c>
      <c r="H42" s="291">
        <f t="shared" si="10"/>
        <v>1.22272274986517</v>
      </c>
      <c r="I42" s="288">
        <v>53800</v>
      </c>
      <c r="J42" s="292">
        <f>VLOOKUP(B42,推广数据统计!$A:$AB,23,FALSE)</f>
        <v>10776.58</v>
      </c>
      <c r="K42" s="290">
        <f t="shared" si="8"/>
        <v>101685.72</v>
      </c>
      <c r="L42" s="293">
        <f t="shared" si="6"/>
        <v>0.0958239338871782</v>
      </c>
      <c r="M42" s="294">
        <v>0.1103</v>
      </c>
      <c r="N42" s="294">
        <v>0.1411</v>
      </c>
      <c r="O42" s="289">
        <v>97</v>
      </c>
      <c r="P42" s="294">
        <v>0.0255</v>
      </c>
      <c r="Q42" s="294">
        <v>0.4775</v>
      </c>
      <c r="R42" s="294">
        <v>0.9458</v>
      </c>
      <c r="S42" s="289">
        <v>2.09</v>
      </c>
      <c r="T42" s="301">
        <v>1601</v>
      </c>
      <c r="U42" s="294">
        <v>0.0298</v>
      </c>
      <c r="Y42" s="297">
        <f>推广数据统计!AB43</f>
        <v>466</v>
      </c>
      <c r="AC42" s="292">
        <f>推广数据统计!B43+推广数据统计!AS43+推广数据统计!AV43+推广数据统计!BA43+推广数据统计!BF43</f>
        <v>83163.35</v>
      </c>
    </row>
    <row r="43" ht="14.5" spans="1:29">
      <c r="A43" s="285">
        <v>41</v>
      </c>
      <c r="B43" s="286">
        <v>45517</v>
      </c>
      <c r="D43" s="288">
        <v>191719.65</v>
      </c>
      <c r="E43" s="289">
        <v>18</v>
      </c>
      <c r="F43" s="290">
        <f t="shared" si="9"/>
        <v>143740.99</v>
      </c>
      <c r="G43" s="291">
        <f t="shared" si="7"/>
        <v>1.33378551239977</v>
      </c>
      <c r="H43" s="291">
        <f t="shared" si="10"/>
        <v>1.22716609924559</v>
      </c>
      <c r="I43" s="288">
        <v>94600</v>
      </c>
      <c r="J43" s="292">
        <f>VLOOKUP(B43,推广数据统计!$A:$AB,23,FALSE)</f>
        <v>15325.58</v>
      </c>
      <c r="K43" s="290">
        <f t="shared" si="8"/>
        <v>176394.07</v>
      </c>
      <c r="L43" s="293">
        <f t="shared" si="6"/>
        <v>0.0799374503343815</v>
      </c>
      <c r="M43" s="294">
        <v>0.1105</v>
      </c>
      <c r="N43" s="294">
        <v>0.1073</v>
      </c>
      <c r="O43" s="289">
        <v>88</v>
      </c>
      <c r="P43" s="294">
        <v>0.0248</v>
      </c>
      <c r="Q43" s="294">
        <v>0.642</v>
      </c>
      <c r="R43" s="294">
        <v>0.9581</v>
      </c>
      <c r="S43" s="289">
        <v>2.03</v>
      </c>
      <c r="T43" s="301">
        <v>2450</v>
      </c>
      <c r="U43" s="294">
        <v>0.0259</v>
      </c>
      <c r="Y43" s="297">
        <f>推广数据统计!AB44</f>
        <v>873</v>
      </c>
      <c r="AC43" s="292">
        <f>推广数据统计!B44+推广数据统计!AS44+推广数据统计!AV44+推广数据统计!BA44+推广数据统计!BF44</f>
        <v>143740.99</v>
      </c>
    </row>
    <row r="44" ht="14.5" spans="1:29">
      <c r="A44" s="285">
        <v>42</v>
      </c>
      <c r="B44" s="286">
        <v>45518</v>
      </c>
      <c r="D44" s="288">
        <v>118217</v>
      </c>
      <c r="E44" s="289">
        <v>18</v>
      </c>
      <c r="F44" s="290">
        <f t="shared" si="9"/>
        <v>90162.09</v>
      </c>
      <c r="G44" s="291">
        <f t="shared" si="7"/>
        <v>1.31116082158255</v>
      </c>
      <c r="H44" s="291">
        <f t="shared" si="10"/>
        <v>1.19462004485477</v>
      </c>
      <c r="I44" s="288">
        <v>95300</v>
      </c>
      <c r="J44" s="292">
        <f>VLOOKUP(B44,推广数据统计!$A:$AB,23,FALSE)</f>
        <v>10507.56</v>
      </c>
      <c r="K44" s="290">
        <f t="shared" si="8"/>
        <v>107709.44</v>
      </c>
      <c r="L44" s="293">
        <f t="shared" si="6"/>
        <v>0.0888836630941404</v>
      </c>
      <c r="M44" s="294">
        <v>0.1004</v>
      </c>
      <c r="N44" s="294">
        <v>0.107</v>
      </c>
      <c r="O44" s="289">
        <v>78</v>
      </c>
      <c r="P44" s="294">
        <v>0.0246</v>
      </c>
      <c r="Q44" s="294">
        <v>0.6411</v>
      </c>
      <c r="R44" s="294">
        <v>0.9608</v>
      </c>
      <c r="S44" s="289">
        <v>1.24</v>
      </c>
      <c r="T44" s="289">
        <v>1873</v>
      </c>
      <c r="U44" s="294">
        <v>0.0258</v>
      </c>
      <c r="Y44" s="297">
        <f>推广数据统计!AB45</f>
        <v>427</v>
      </c>
      <c r="AC44" s="292">
        <f>推广数据统计!B45+推广数据统计!AS45+推广数据统计!AV45+推广数据统计!BA45+推广数据统计!BF45</f>
        <v>90162.09</v>
      </c>
    </row>
    <row r="45" ht="14.5" spans="1:29">
      <c r="A45" s="285">
        <v>43</v>
      </c>
      <c r="B45" s="286">
        <v>45519</v>
      </c>
      <c r="D45" s="288">
        <v>103362</v>
      </c>
      <c r="E45" s="289">
        <v>0</v>
      </c>
      <c r="F45" s="290">
        <f t="shared" si="9"/>
        <v>74131.34</v>
      </c>
      <c r="G45" s="291">
        <f t="shared" si="7"/>
        <v>1.39430907359829</v>
      </c>
      <c r="H45" s="291">
        <f t="shared" si="10"/>
        <v>1.28925647371274</v>
      </c>
      <c r="I45" s="288">
        <v>63000</v>
      </c>
      <c r="J45" s="292">
        <f>VLOOKUP(B45,推广数据统计!$A:$AB,23,FALSE)</f>
        <v>7787.69</v>
      </c>
      <c r="K45" s="290">
        <f t="shared" si="8"/>
        <v>95574.31</v>
      </c>
      <c r="L45" s="293">
        <f t="shared" si="6"/>
        <v>0.0753438400959734</v>
      </c>
      <c r="M45" s="294">
        <v>0.1044</v>
      </c>
      <c r="N45" s="294">
        <v>0.1414</v>
      </c>
      <c r="O45" s="289">
        <v>87</v>
      </c>
      <c r="P45" s="294">
        <v>0.0234</v>
      </c>
      <c r="Q45" s="294">
        <v>0.5033</v>
      </c>
      <c r="R45" s="294">
        <v>0.962</v>
      </c>
      <c r="S45" s="289">
        <v>1.64</v>
      </c>
      <c r="T45" s="289">
        <v>1830</v>
      </c>
      <c r="U45" s="294">
        <v>0.0258</v>
      </c>
      <c r="Y45" s="297">
        <f>推广数据统计!AB46</f>
        <v>356</v>
      </c>
      <c r="AC45" s="292">
        <f>推广数据统计!B46+推广数据统计!AS46+推广数据统计!AV46+推广数据统计!BA46+推广数据统计!BF46</f>
        <v>74131.34</v>
      </c>
    </row>
    <row r="46" ht="14.5" spans="1:29">
      <c r="A46" s="285">
        <v>44</v>
      </c>
      <c r="B46" s="286">
        <v>45520</v>
      </c>
      <c r="D46" s="288">
        <v>65062</v>
      </c>
      <c r="E46" s="289">
        <v>18</v>
      </c>
      <c r="F46" s="290">
        <f t="shared" si="9"/>
        <v>44692.02</v>
      </c>
      <c r="G46" s="291">
        <f t="shared" si="7"/>
        <v>1.45578561899865</v>
      </c>
      <c r="H46" s="291">
        <f t="shared" si="10"/>
        <v>1.32810331687849</v>
      </c>
      <c r="I46" s="288">
        <v>33800</v>
      </c>
      <c r="J46" s="292">
        <f>VLOOKUP(B46,推广数据统计!$A:$AB,23,FALSE)</f>
        <v>5706.38</v>
      </c>
      <c r="K46" s="290">
        <f t="shared" si="8"/>
        <v>59355.62</v>
      </c>
      <c r="L46" s="293">
        <f t="shared" si="6"/>
        <v>0.0877068027419999</v>
      </c>
      <c r="M46" s="294">
        <v>0.128</v>
      </c>
      <c r="N46" s="294">
        <v>0.1677</v>
      </c>
      <c r="O46" s="289">
        <v>123</v>
      </c>
      <c r="P46" s="294">
        <v>0.024</v>
      </c>
      <c r="Q46" s="294">
        <v>0.3611</v>
      </c>
      <c r="R46" s="294">
        <v>0.9241</v>
      </c>
      <c r="S46" s="289">
        <v>1.92</v>
      </c>
      <c r="T46" s="289">
        <v>781</v>
      </c>
      <c r="U46" s="294">
        <v>0.0258</v>
      </c>
      <c r="Y46" s="297">
        <f>推广数据统计!AB47</f>
        <v>231</v>
      </c>
      <c r="AC46" s="292">
        <f>推广数据统计!B47+推广数据统计!AS47+推广数据统计!AV47+推广数据统计!BA47+推广数据统计!BF47</f>
        <v>44692.02</v>
      </c>
    </row>
    <row r="47" ht="14.5" spans="1:29">
      <c r="A47" s="285">
        <v>45</v>
      </c>
      <c r="B47" s="286">
        <v>45521</v>
      </c>
      <c r="D47" s="288">
        <v>118081</v>
      </c>
      <c r="E47" s="289">
        <v>18</v>
      </c>
      <c r="F47" s="290">
        <f t="shared" si="9"/>
        <v>85154.82</v>
      </c>
      <c r="G47" s="291">
        <f t="shared" si="7"/>
        <v>1.38666255180858</v>
      </c>
      <c r="H47" s="291">
        <f t="shared" si="10"/>
        <v>1.27097925871959</v>
      </c>
      <c r="I47" s="288">
        <v>67900</v>
      </c>
      <c r="J47" s="292">
        <f>VLOOKUP(B47,推广数据统计!$A:$AB,23,FALSE)</f>
        <v>9850.99</v>
      </c>
      <c r="K47" s="290">
        <f t="shared" si="8"/>
        <v>108230.01</v>
      </c>
      <c r="L47" s="293">
        <f t="shared" ref="L47:L78" si="11">J47/D47</f>
        <v>0.0834256993081021</v>
      </c>
      <c r="M47" s="294">
        <v>0.116</v>
      </c>
      <c r="N47" s="294">
        <v>0.1173</v>
      </c>
      <c r="O47" s="289">
        <v>87</v>
      </c>
      <c r="P47" s="294">
        <v>0.0219</v>
      </c>
      <c r="Q47" s="294">
        <v>0.5973</v>
      </c>
      <c r="R47" s="294">
        <v>0.9565</v>
      </c>
      <c r="S47" s="289">
        <v>1.74</v>
      </c>
      <c r="T47" s="289">
        <v>1472</v>
      </c>
      <c r="U47" s="294">
        <v>0.0258</v>
      </c>
      <c r="Y47" s="297">
        <f>推广数据统计!AB48</f>
        <v>464</v>
      </c>
      <c r="AC47" s="292">
        <f>推广数据统计!B48+推广数据统计!AS48+推广数据统计!AV48+推广数据统计!BA48+推广数据统计!BF48</f>
        <v>85154.82</v>
      </c>
    </row>
    <row r="48" ht="14.5" spans="1:29">
      <c r="A48" s="285">
        <v>46</v>
      </c>
      <c r="B48" s="286">
        <v>45522</v>
      </c>
      <c r="D48" s="288">
        <v>108012.62</v>
      </c>
      <c r="E48" s="289">
        <v>18</v>
      </c>
      <c r="F48" s="290">
        <f t="shared" si="9"/>
        <v>76339.96</v>
      </c>
      <c r="G48" s="291">
        <f t="shared" si="7"/>
        <v>1.41488965936058</v>
      </c>
      <c r="H48" s="291">
        <f t="shared" si="10"/>
        <v>1.31231821447116</v>
      </c>
      <c r="I48" s="288">
        <v>60900</v>
      </c>
      <c r="J48" s="292">
        <f>VLOOKUP(B48,推广数据统计!$A:$AB,23,FALSE)</f>
        <v>7830.3</v>
      </c>
      <c r="K48" s="290">
        <f t="shared" si="8"/>
        <v>100182.32</v>
      </c>
      <c r="L48" s="293">
        <f t="shared" si="11"/>
        <v>0.0724943066837931</v>
      </c>
      <c r="M48" s="294">
        <v>0.1343</v>
      </c>
      <c r="N48" s="294">
        <v>0.1422</v>
      </c>
      <c r="O48" s="289" t="s">
        <v>58</v>
      </c>
      <c r="P48" s="294">
        <v>0.0223</v>
      </c>
      <c r="Q48" s="294">
        <v>0.5038</v>
      </c>
      <c r="R48" s="294">
        <v>0.9415</v>
      </c>
      <c r="S48" s="289">
        <v>1.77</v>
      </c>
      <c r="T48" s="289">
        <v>1567</v>
      </c>
      <c r="U48" s="294">
        <v>0.0258</v>
      </c>
      <c r="Y48" s="297">
        <f>推广数据统计!AB49</f>
        <v>383</v>
      </c>
      <c r="AC48" s="292">
        <f>推广数据统计!B49+推广数据统计!AS49+推广数据统计!AV49+推广数据统计!BA49+推广数据统计!BF49</f>
        <v>76339.96</v>
      </c>
    </row>
    <row r="49" ht="14.5" spans="1:29">
      <c r="A49" s="285">
        <v>47</v>
      </c>
      <c r="B49" s="286">
        <v>45523</v>
      </c>
      <c r="D49" s="288">
        <v>99140.91</v>
      </c>
      <c r="E49" s="289">
        <v>18</v>
      </c>
      <c r="F49" s="290">
        <f t="shared" si="9"/>
        <v>74183.22</v>
      </c>
      <c r="G49" s="291">
        <f t="shared" si="7"/>
        <v>1.3364330909335</v>
      </c>
      <c r="H49" s="291">
        <f t="shared" si="10"/>
        <v>1.21754205331071</v>
      </c>
      <c r="I49" s="288">
        <v>75400</v>
      </c>
      <c r="J49" s="292">
        <f>VLOOKUP(B49,推广数据统计!$A:$AB,23,FALSE)</f>
        <v>8819.72</v>
      </c>
      <c r="K49" s="290">
        <f t="shared" si="8"/>
        <v>90321.19</v>
      </c>
      <c r="L49" s="293">
        <f t="shared" si="11"/>
        <v>0.0889614589981068</v>
      </c>
      <c r="M49" s="294">
        <v>0.1352</v>
      </c>
      <c r="N49" s="294">
        <v>0.1443</v>
      </c>
      <c r="O49" s="289" t="s">
        <v>59</v>
      </c>
      <c r="P49" s="294">
        <v>0.0166</v>
      </c>
      <c r="Q49" s="294">
        <v>0.5222</v>
      </c>
      <c r="R49" s="294">
        <v>0.9425</v>
      </c>
      <c r="S49" s="289">
        <v>1.31</v>
      </c>
      <c r="T49" s="289">
        <v>2236</v>
      </c>
      <c r="U49" s="294">
        <v>0.0297</v>
      </c>
      <c r="Y49" s="297">
        <f>推广数据统计!AB50</f>
        <v>499</v>
      </c>
      <c r="AC49" s="292">
        <f>推广数据统计!B50+推广数据统计!AS50+推广数据统计!AV50+推广数据统计!BA50+推广数据统计!BF50</f>
        <v>74183.22</v>
      </c>
    </row>
    <row r="50" ht="14.5" spans="1:29">
      <c r="A50" s="285">
        <v>48</v>
      </c>
      <c r="B50" s="286">
        <v>45524</v>
      </c>
      <c r="D50" s="288">
        <v>102226.84</v>
      </c>
      <c r="E50" s="289">
        <v>18</v>
      </c>
      <c r="F50" s="290">
        <f t="shared" si="9"/>
        <v>73281.16</v>
      </c>
      <c r="G50" s="291">
        <f t="shared" si="7"/>
        <v>1.3949948390555</v>
      </c>
      <c r="H50" s="291">
        <f t="shared" si="10"/>
        <v>1.27985214753697</v>
      </c>
      <c r="I50" s="288">
        <v>65000</v>
      </c>
      <c r="J50" s="292">
        <f>VLOOKUP(B50,推广数据统计!$A:$AB,23,FALSE)</f>
        <v>8437.79</v>
      </c>
      <c r="K50" s="290">
        <f t="shared" si="8"/>
        <v>93789.05</v>
      </c>
      <c r="L50" s="293">
        <f t="shared" si="11"/>
        <v>0.0825398691772141</v>
      </c>
      <c r="M50" s="294">
        <v>0.1278</v>
      </c>
      <c r="N50" s="294">
        <v>0.1462</v>
      </c>
      <c r="O50" s="289" t="s">
        <v>60</v>
      </c>
      <c r="P50" s="294">
        <v>0.0196</v>
      </c>
      <c r="Q50" s="294">
        <v>0.5397</v>
      </c>
      <c r="R50" s="294">
        <v>0.9339</v>
      </c>
      <c r="S50" s="289">
        <v>1.57</v>
      </c>
      <c r="T50" s="289">
        <v>1611</v>
      </c>
      <c r="U50" s="294">
        <v>0.0247</v>
      </c>
      <c r="Y50" s="297">
        <f>推广数据统计!AB51</f>
        <v>428</v>
      </c>
      <c r="AC50" s="292">
        <f>推广数据统计!B51+推广数据统计!AS51+推广数据统计!AV51+推广数据统计!BA51+推广数据统计!BF51</f>
        <v>73281.16</v>
      </c>
    </row>
    <row r="51" ht="14.5" spans="1:29">
      <c r="A51" s="285">
        <v>49</v>
      </c>
      <c r="B51" s="286">
        <v>45525</v>
      </c>
      <c r="D51" s="288">
        <v>76765.6</v>
      </c>
      <c r="E51" s="289">
        <v>18</v>
      </c>
      <c r="F51" s="290">
        <f t="shared" si="9"/>
        <v>53693.22</v>
      </c>
      <c r="G51" s="291">
        <f t="shared" si="7"/>
        <v>1.42970751241963</v>
      </c>
      <c r="H51" s="291">
        <f t="shared" si="10"/>
        <v>1.31283968441453</v>
      </c>
      <c r="I51" s="288">
        <v>55600</v>
      </c>
      <c r="J51" s="292">
        <f>VLOOKUP(B51,推广数据统计!$A:$AB,23,FALSE)</f>
        <v>6275.01</v>
      </c>
      <c r="K51" s="290">
        <f t="shared" ref="K51:K69" si="12">D51-J51</f>
        <v>70490.59</v>
      </c>
      <c r="L51" s="293">
        <f t="shared" si="11"/>
        <v>0.0817424731911169</v>
      </c>
      <c r="M51" s="294">
        <v>0.1774</v>
      </c>
      <c r="N51" s="294">
        <v>0.1773</v>
      </c>
      <c r="O51" s="289" t="s">
        <v>61</v>
      </c>
      <c r="P51" s="294">
        <v>0.0172</v>
      </c>
      <c r="Q51" s="294">
        <v>0.3375</v>
      </c>
      <c r="R51" s="294">
        <v>0.9212</v>
      </c>
      <c r="S51" s="289">
        <v>1.38</v>
      </c>
      <c r="T51" s="289">
        <v>1924</v>
      </c>
      <c r="U51" s="294">
        <v>0.0346</v>
      </c>
      <c r="Y51" s="297">
        <f>推广数据统计!AB52</f>
        <v>269</v>
      </c>
      <c r="AC51" s="292">
        <f>推广数据统计!B52+推广数据统计!AS52+推广数据统计!AV52+推广数据统计!BA52+推广数据统计!BF52</f>
        <v>53693.22</v>
      </c>
    </row>
    <row r="52" ht="14.5" spans="1:29">
      <c r="A52" s="285">
        <v>50</v>
      </c>
      <c r="B52" s="286">
        <v>45526</v>
      </c>
      <c r="D52" s="288">
        <v>112190.6</v>
      </c>
      <c r="E52" s="289">
        <v>18</v>
      </c>
      <c r="F52" s="290">
        <f t="shared" si="9"/>
        <v>78754.99</v>
      </c>
      <c r="G52" s="291">
        <f t="shared" si="7"/>
        <v>1.42455227281471</v>
      </c>
      <c r="H52" s="291">
        <f t="shared" si="10"/>
        <v>1.28689597954365</v>
      </c>
      <c r="I52" s="288">
        <v>64400</v>
      </c>
      <c r="J52" s="292">
        <f>VLOOKUP(B52,推广数据统计!$A:$AB,23,FALSE)</f>
        <v>10841.12</v>
      </c>
      <c r="K52" s="290">
        <f t="shared" si="12"/>
        <v>101349.48</v>
      </c>
      <c r="L52" s="293">
        <f t="shared" si="11"/>
        <v>0.0966312685733029</v>
      </c>
      <c r="M52" s="294">
        <v>0.1464</v>
      </c>
      <c r="N52" s="294">
        <v>0.1417</v>
      </c>
      <c r="O52" s="289" t="s">
        <v>62</v>
      </c>
      <c r="P52" s="294">
        <v>0.0221</v>
      </c>
      <c r="Q52" s="294">
        <v>0.5708</v>
      </c>
      <c r="R52" s="294">
        <v>0.9456</v>
      </c>
      <c r="S52" s="289">
        <v>1.74</v>
      </c>
      <c r="T52" s="289">
        <v>1496</v>
      </c>
      <c r="U52" s="294">
        <v>0.0232</v>
      </c>
      <c r="Y52" s="297">
        <f>推广数据统计!AB53</f>
        <v>506</v>
      </c>
      <c r="AC52" s="292">
        <f>推广数据统计!B53+推广数据统计!AS53+推广数据统计!AV53+推广数据统计!BA53+推广数据统计!BF53</f>
        <v>78754.99</v>
      </c>
    </row>
    <row r="53" ht="14.5" spans="1:29">
      <c r="A53" s="285">
        <v>51</v>
      </c>
      <c r="B53" s="286">
        <v>45527</v>
      </c>
      <c r="D53" s="288">
        <v>100784</v>
      </c>
      <c r="E53" s="289">
        <v>18</v>
      </c>
      <c r="F53" s="290">
        <f t="shared" si="9"/>
        <v>73876.95</v>
      </c>
      <c r="G53" s="291">
        <f t="shared" si="7"/>
        <v>1.36421441329129</v>
      </c>
      <c r="H53" s="291">
        <f t="shared" si="10"/>
        <v>1.25940486173292</v>
      </c>
      <c r="I53" s="288">
        <v>57500</v>
      </c>
      <c r="J53" s="292">
        <f>VLOOKUP(B53,推广数据统计!$A:$AB,23,FALSE)</f>
        <v>7743.01</v>
      </c>
      <c r="K53" s="290">
        <f t="shared" si="12"/>
        <v>93040.99</v>
      </c>
      <c r="L53" s="293">
        <f t="shared" si="11"/>
        <v>0.076827770280997</v>
      </c>
      <c r="M53" s="294">
        <v>0.1484</v>
      </c>
      <c r="N53" s="294">
        <v>0.1417</v>
      </c>
      <c r="O53" s="289">
        <v>100</v>
      </c>
      <c r="P53" s="294">
        <v>0.0231</v>
      </c>
      <c r="Q53" s="294">
        <v>0.55</v>
      </c>
      <c r="R53" s="294">
        <v>0.9556</v>
      </c>
      <c r="S53" s="289">
        <v>1.75</v>
      </c>
      <c r="T53" s="301">
        <v>1398</v>
      </c>
      <c r="U53" s="294">
        <v>0.0232</v>
      </c>
      <c r="Y53" s="297">
        <f>推广数据统计!AB54</f>
        <v>364</v>
      </c>
      <c r="AC53" s="292">
        <f>推广数据统计!B54+推广数据统计!AS54+推广数据统计!AV54+推广数据统计!BA54+推广数据统计!BF54</f>
        <v>73876.95</v>
      </c>
    </row>
    <row r="54" ht="14.5" spans="1:29">
      <c r="A54" s="285">
        <v>52</v>
      </c>
      <c r="B54" s="286">
        <v>45528</v>
      </c>
      <c r="D54" s="288">
        <v>124548.75</v>
      </c>
      <c r="E54" s="289">
        <v>18</v>
      </c>
      <c r="F54" s="290">
        <f t="shared" si="9"/>
        <v>88854.37</v>
      </c>
      <c r="G54" s="291">
        <f t="shared" ref="G54:G85" si="13">D54/F54</f>
        <v>1.40171777707726</v>
      </c>
      <c r="H54" s="291">
        <f t="shared" si="10"/>
        <v>1.28813135470996</v>
      </c>
      <c r="I54" s="288">
        <v>68000</v>
      </c>
      <c r="J54" s="292">
        <f>VLOOKUP(B54,推广数据统计!$A:$AB,23,FALSE)</f>
        <v>10092.65</v>
      </c>
      <c r="K54" s="290">
        <f t="shared" si="12"/>
        <v>114456.1</v>
      </c>
      <c r="L54" s="293">
        <f t="shared" si="11"/>
        <v>0.0810337317716958</v>
      </c>
      <c r="M54" s="294">
        <v>0.1382</v>
      </c>
      <c r="N54" s="294">
        <v>0.1386</v>
      </c>
      <c r="O54" s="289">
        <v>102</v>
      </c>
      <c r="P54" s="294">
        <v>0.0233</v>
      </c>
      <c r="Q54" s="294">
        <v>0.5513</v>
      </c>
      <c r="R54" s="294">
        <v>0.9584</v>
      </c>
      <c r="S54" s="289">
        <v>1.83</v>
      </c>
      <c r="T54" s="301">
        <v>1695</v>
      </c>
      <c r="U54" s="294">
        <v>0.0249</v>
      </c>
      <c r="Y54" s="297">
        <f>推广数据统计!AB55</f>
        <v>464</v>
      </c>
      <c r="AC54" s="292">
        <f>推广数据统计!B55+推广数据统计!AS55+推广数据统计!AV55+推广数据统计!BA55+推广数据统计!BF55</f>
        <v>88854.37</v>
      </c>
    </row>
    <row r="55" ht="14.5" spans="1:29">
      <c r="A55" s="285">
        <v>53</v>
      </c>
      <c r="B55" s="286">
        <v>45529</v>
      </c>
      <c r="D55" s="288">
        <v>119272</v>
      </c>
      <c r="E55" s="289">
        <v>18</v>
      </c>
      <c r="F55" s="290">
        <f t="shared" si="9"/>
        <v>90225.78</v>
      </c>
      <c r="G55" s="291">
        <f t="shared" si="13"/>
        <v>1.32192816731537</v>
      </c>
      <c r="H55" s="291">
        <f t="shared" si="10"/>
        <v>1.22009197371306</v>
      </c>
      <c r="I55" s="288">
        <v>75100</v>
      </c>
      <c r="J55" s="292">
        <f>VLOOKUP(B55,推广数据统计!$A:$AB,23,FALSE)</f>
        <v>9188.25</v>
      </c>
      <c r="K55" s="290">
        <f t="shared" si="12"/>
        <v>110083.75</v>
      </c>
      <c r="L55" s="293">
        <f t="shared" si="11"/>
        <v>0.0770361023542827</v>
      </c>
      <c r="M55" s="294">
        <v>0.1251</v>
      </c>
      <c r="N55" s="294">
        <v>0.1385</v>
      </c>
      <c r="O55" s="289">
        <v>95</v>
      </c>
      <c r="P55" s="294">
        <v>0.0231</v>
      </c>
      <c r="Q55" s="294">
        <v>0.5505</v>
      </c>
      <c r="R55" s="294">
        <v>0.9562</v>
      </c>
      <c r="S55" s="289">
        <v>1.59</v>
      </c>
      <c r="T55" s="289">
        <v>1705</v>
      </c>
      <c r="U55" s="294">
        <v>0.0227</v>
      </c>
      <c r="Y55" s="297">
        <f>推广数据统计!AB56</f>
        <v>458</v>
      </c>
      <c r="AC55" s="292">
        <f>推广数据统计!B56+推广数据统计!AS56+推广数据统计!AV56+推广数据统计!BA56+推广数据统计!BF56</f>
        <v>90225.78</v>
      </c>
    </row>
    <row r="56" ht="14.5" spans="1:29">
      <c r="A56" s="285">
        <v>54</v>
      </c>
      <c r="B56" s="286">
        <v>45530</v>
      </c>
      <c r="D56" s="288">
        <v>108463.4</v>
      </c>
      <c r="E56" s="289">
        <v>18</v>
      </c>
      <c r="F56" s="290">
        <f t="shared" si="9"/>
        <v>76885.7</v>
      </c>
      <c r="G56" s="291">
        <f t="shared" si="13"/>
        <v>1.41070966382565</v>
      </c>
      <c r="H56" s="291">
        <f t="shared" si="10"/>
        <v>1.29507827853554</v>
      </c>
      <c r="I56" s="288">
        <v>64600</v>
      </c>
      <c r="J56" s="292">
        <f>VLOOKUP(B56,推广数据统计!$A:$AB,23,FALSE)</f>
        <v>8890.4</v>
      </c>
      <c r="K56" s="290">
        <f t="shared" si="12"/>
        <v>99573</v>
      </c>
      <c r="L56" s="293">
        <f t="shared" si="11"/>
        <v>0.081966820143938</v>
      </c>
      <c r="M56" s="294">
        <v>0.1669</v>
      </c>
      <c r="N56" s="294">
        <v>0.165</v>
      </c>
      <c r="O56" s="289">
        <v>119</v>
      </c>
      <c r="P56" s="294">
        <v>0.0212</v>
      </c>
      <c r="Q56" s="294">
        <v>0.4914</v>
      </c>
      <c r="R56" s="294">
        <v>0.9472</v>
      </c>
      <c r="S56" s="289">
        <v>1.68</v>
      </c>
      <c r="T56" s="301">
        <v>1897</v>
      </c>
      <c r="U56" s="294">
        <v>0.0294</v>
      </c>
      <c r="Y56" s="297">
        <f>推广数据统计!AB57</f>
        <v>384</v>
      </c>
      <c r="AC56" s="292">
        <f>推广数据统计!B57+推广数据统计!AS57+推广数据统计!AV57+推广数据统计!BA57+推广数据统计!BF57</f>
        <v>76885.7</v>
      </c>
    </row>
    <row r="57" ht="14.5" spans="1:29">
      <c r="A57" s="285">
        <v>55</v>
      </c>
      <c r="B57" s="286">
        <v>45531</v>
      </c>
      <c r="D57" s="288">
        <v>88942.68</v>
      </c>
      <c r="E57" s="289">
        <v>18</v>
      </c>
      <c r="F57" s="290">
        <f t="shared" si="9"/>
        <v>61652.63</v>
      </c>
      <c r="G57" s="291">
        <f t="shared" si="13"/>
        <v>1.44264210626538</v>
      </c>
      <c r="H57" s="291">
        <f t="shared" si="10"/>
        <v>1.31111551932172</v>
      </c>
      <c r="I57" s="288">
        <v>50200</v>
      </c>
      <c r="J57" s="292">
        <f>VLOOKUP(B57,推广数据统计!$A:$AB,23,FALSE)</f>
        <v>8108.96</v>
      </c>
      <c r="K57" s="290">
        <f t="shared" si="12"/>
        <v>80833.72</v>
      </c>
      <c r="L57" s="293">
        <f t="shared" si="11"/>
        <v>0.0911706280944087</v>
      </c>
      <c r="M57" s="294">
        <v>0.1573</v>
      </c>
      <c r="N57" s="294">
        <v>0.1802</v>
      </c>
      <c r="O57" s="289">
        <v>123</v>
      </c>
      <c r="P57" s="294">
        <v>0.0226</v>
      </c>
      <c r="Q57" s="294">
        <v>0.4327</v>
      </c>
      <c r="R57" s="294">
        <v>0.933</v>
      </c>
      <c r="S57" s="289">
        <v>1.77</v>
      </c>
      <c r="T57" s="301">
        <v>1399</v>
      </c>
      <c r="U57" s="294">
        <v>0.0279</v>
      </c>
      <c r="Y57" s="297">
        <f>推广数据统计!AB58</f>
        <v>316</v>
      </c>
      <c r="AC57" s="292">
        <f>推广数据统计!B58+推广数据统计!AS58+推广数据统计!AV58+推广数据统计!BA58+推广数据统计!BF58</f>
        <v>61652.63</v>
      </c>
    </row>
    <row r="58" ht="14.5" spans="1:29">
      <c r="A58" s="285">
        <v>56</v>
      </c>
      <c r="B58" s="286">
        <v>45532</v>
      </c>
      <c r="D58" s="288">
        <v>73240</v>
      </c>
      <c r="E58" s="289">
        <v>18</v>
      </c>
      <c r="F58" s="290">
        <f t="shared" si="9"/>
        <v>53050.28</v>
      </c>
      <c r="G58" s="291">
        <f t="shared" si="13"/>
        <v>1.38057706764224</v>
      </c>
      <c r="H58" s="291">
        <f t="shared" si="10"/>
        <v>1.2489389311423</v>
      </c>
      <c r="I58" s="288">
        <v>52300</v>
      </c>
      <c r="J58" s="292">
        <f>VLOOKUP(B58,推广数据统计!$A:$AB,23,FALSE)</f>
        <v>6983.44</v>
      </c>
      <c r="K58" s="290">
        <f t="shared" si="12"/>
        <v>66256.56</v>
      </c>
      <c r="L58" s="293">
        <f t="shared" si="11"/>
        <v>0.0953500819224467</v>
      </c>
      <c r="M58" s="294">
        <v>0.1936</v>
      </c>
      <c r="N58" s="294">
        <v>0.175</v>
      </c>
      <c r="O58" s="289">
        <v>122</v>
      </c>
      <c r="P58" s="294">
        <v>0.0177</v>
      </c>
      <c r="Q58" s="294">
        <v>0.4517</v>
      </c>
      <c r="R58" s="294">
        <v>0.9256</v>
      </c>
      <c r="S58" s="289">
        <v>1.4</v>
      </c>
      <c r="T58" s="301">
        <v>1331</v>
      </c>
      <c r="U58" s="294">
        <v>0.0254</v>
      </c>
      <c r="Y58" s="297">
        <f>推广数据统计!AB59</f>
        <v>295</v>
      </c>
      <c r="AC58" s="292">
        <f>推广数据统计!B59+推广数据统计!AS59+推广数据统计!AV59+推广数据统计!BA59+推广数据统计!BF59</f>
        <v>53050.28</v>
      </c>
    </row>
    <row r="59" ht="14.5" spans="1:29">
      <c r="A59" s="285">
        <v>57</v>
      </c>
      <c r="B59" s="286">
        <v>45533</v>
      </c>
      <c r="D59" s="288">
        <v>86522.9</v>
      </c>
      <c r="E59" s="289">
        <v>18</v>
      </c>
      <c r="F59" s="290">
        <f t="shared" si="9"/>
        <v>60623.33</v>
      </c>
      <c r="G59" s="291">
        <f t="shared" si="13"/>
        <v>1.42722117046358</v>
      </c>
      <c r="H59" s="291">
        <f t="shared" si="10"/>
        <v>1.30855728314495</v>
      </c>
      <c r="I59" s="288">
        <v>52200</v>
      </c>
      <c r="J59" s="292">
        <f>VLOOKUP(B59,推广数据统计!$A:$AB,23,FALSE)</f>
        <v>7193.8</v>
      </c>
      <c r="K59" s="290">
        <f t="shared" si="12"/>
        <v>79329.1</v>
      </c>
      <c r="L59" s="293">
        <f t="shared" si="11"/>
        <v>0.0831433065697058</v>
      </c>
      <c r="M59" s="294">
        <v>0.1764</v>
      </c>
      <c r="N59" s="294">
        <v>0.168</v>
      </c>
      <c r="O59" s="289">
        <v>124</v>
      </c>
      <c r="P59" s="294">
        <v>0.0212</v>
      </c>
      <c r="Q59" s="294">
        <v>0.5033</v>
      </c>
      <c r="R59" s="294">
        <v>0.9388</v>
      </c>
      <c r="S59" s="289">
        <v>1.66</v>
      </c>
      <c r="T59" s="301">
        <v>1176</v>
      </c>
      <c r="U59" s="294">
        <v>0.0225</v>
      </c>
      <c r="Y59" s="297">
        <f>推广数据统计!AB60</f>
        <v>265</v>
      </c>
      <c r="AC59" s="292">
        <f>推广数据统计!B60+推广数据统计!AS60+推广数据统计!AV60+推广数据统计!BA60+推广数据统计!BF60</f>
        <v>60623.33</v>
      </c>
    </row>
    <row r="60" ht="14.5" spans="1:29">
      <c r="A60" s="285">
        <v>58</v>
      </c>
      <c r="B60" s="286">
        <v>45534</v>
      </c>
      <c r="D60" s="288">
        <v>84548</v>
      </c>
      <c r="E60" s="289">
        <v>18</v>
      </c>
      <c r="F60" s="290">
        <f t="shared" si="9"/>
        <v>61056.15</v>
      </c>
      <c r="G60" s="291">
        <f t="shared" si="13"/>
        <v>1.38475812837855</v>
      </c>
      <c r="H60" s="291">
        <f t="shared" si="10"/>
        <v>1.26866564629444</v>
      </c>
      <c r="I60" s="288">
        <v>47200</v>
      </c>
      <c r="J60" s="292">
        <f>VLOOKUP(B60,推广数据统计!$A:$AB,23,FALSE)</f>
        <v>7088.16</v>
      </c>
      <c r="K60" s="290">
        <f t="shared" si="12"/>
        <v>77459.84</v>
      </c>
      <c r="L60" s="293">
        <f t="shared" si="11"/>
        <v>0.0838359275204617</v>
      </c>
      <c r="M60" s="294">
        <v>0.1564</v>
      </c>
      <c r="N60" s="294">
        <v>0.168</v>
      </c>
      <c r="O60" s="289">
        <v>111</v>
      </c>
      <c r="P60" s="294">
        <v>0.0223</v>
      </c>
      <c r="Q60" s="289"/>
      <c r="R60" s="289"/>
      <c r="S60" s="289">
        <v>1.79</v>
      </c>
      <c r="T60" s="289">
        <v>1096</v>
      </c>
      <c r="U60" s="294">
        <v>0.0232</v>
      </c>
      <c r="Y60" s="297">
        <f>推广数据统计!AB61</f>
        <v>293</v>
      </c>
      <c r="AC60" s="292">
        <f>推广数据统计!B61+推广数据统计!AS61+推广数据统计!AV61+推广数据统计!BA61+推广数据统计!BF61</f>
        <v>61056.15</v>
      </c>
    </row>
    <row r="61" ht="14.5" spans="1:29">
      <c r="A61" s="285">
        <v>59</v>
      </c>
      <c r="B61" s="286">
        <v>45535</v>
      </c>
      <c r="D61" s="288">
        <v>59938</v>
      </c>
      <c r="E61" s="289">
        <v>18</v>
      </c>
      <c r="F61" s="290">
        <f t="shared" si="9"/>
        <v>44757.95</v>
      </c>
      <c r="G61" s="291">
        <f t="shared" si="13"/>
        <v>1.33915874163138</v>
      </c>
      <c r="H61" s="291">
        <f t="shared" si="10"/>
        <v>1.23253433188964</v>
      </c>
      <c r="I61" s="288">
        <v>57200</v>
      </c>
      <c r="J61" s="292">
        <f>VLOOKUP(B61,推广数据统计!$A:$AB,23,FALSE)</f>
        <v>4772.29</v>
      </c>
      <c r="K61" s="290">
        <f t="shared" si="12"/>
        <v>55165.71</v>
      </c>
      <c r="L61" s="293">
        <f t="shared" si="11"/>
        <v>0.0796204411224932</v>
      </c>
      <c r="M61" s="294">
        <v>0.161</v>
      </c>
      <c r="N61" s="289"/>
      <c r="O61" s="289">
        <v>110</v>
      </c>
      <c r="P61" s="294">
        <v>0.0144</v>
      </c>
      <c r="Q61" s="289"/>
      <c r="R61" s="289"/>
      <c r="S61" s="289">
        <v>1.05</v>
      </c>
      <c r="T61" s="289">
        <v>1631</v>
      </c>
      <c r="U61" s="294">
        <v>0.0285</v>
      </c>
      <c r="Y61" s="297">
        <f>推广数据统计!AB62</f>
        <v>323</v>
      </c>
      <c r="AC61" s="292">
        <f>推广数据统计!B62+推广数据统计!AS62+推广数据统计!AV62+推广数据统计!BA62+推广数据统计!BF62</f>
        <v>44757.95</v>
      </c>
    </row>
    <row r="62" ht="14.5" spans="1:29">
      <c r="A62" s="285">
        <v>60</v>
      </c>
      <c r="B62" s="286">
        <v>45536</v>
      </c>
      <c r="D62" s="305">
        <v>132637.61</v>
      </c>
      <c r="E62" s="306">
        <v>18</v>
      </c>
      <c r="F62" s="290">
        <f t="shared" si="9"/>
        <v>102324.5</v>
      </c>
      <c r="G62" s="291">
        <f t="shared" si="13"/>
        <v>1.29624488758802</v>
      </c>
      <c r="H62" s="291">
        <f t="shared" si="10"/>
        <v>1.18219751867832</v>
      </c>
      <c r="I62" s="305">
        <v>70200</v>
      </c>
      <c r="J62" s="292">
        <f>VLOOKUP(B62,推广数据统计!$A:$AB,23,FALSE)</f>
        <v>11669.84</v>
      </c>
      <c r="K62" s="290">
        <f t="shared" si="12"/>
        <v>120967.77</v>
      </c>
      <c r="L62" s="293">
        <f t="shared" si="11"/>
        <v>0.0879828881114489</v>
      </c>
      <c r="M62" s="307">
        <v>0.1752</v>
      </c>
      <c r="N62" s="308">
        <v>0.1414</v>
      </c>
      <c r="O62" s="306" t="s">
        <v>63</v>
      </c>
      <c r="P62" s="307">
        <v>0.0237</v>
      </c>
      <c r="Q62" s="307">
        <v>0.5416</v>
      </c>
      <c r="R62" s="307">
        <v>0.9439</v>
      </c>
      <c r="S62" s="309">
        <v>1.89</v>
      </c>
      <c r="T62" s="306">
        <v>1647</v>
      </c>
      <c r="U62" s="307">
        <v>0.0235</v>
      </c>
      <c r="Y62" s="297">
        <f>推广数据统计!AB63</f>
        <v>406</v>
      </c>
      <c r="AC62" s="292">
        <f>推广数据统计!B63+推广数据统计!AS63+推广数据统计!AV63+推广数据统计!BA63+推广数据统计!BF63</f>
        <v>102324.5</v>
      </c>
    </row>
    <row r="63" ht="14.5" spans="1:29">
      <c r="A63" s="285">
        <v>61</v>
      </c>
      <c r="B63" s="286">
        <v>45537</v>
      </c>
      <c r="D63" s="305">
        <v>91813.2</v>
      </c>
      <c r="E63" s="306">
        <v>18</v>
      </c>
      <c r="F63" s="290">
        <f t="shared" si="9"/>
        <v>72193.54</v>
      </c>
      <c r="G63" s="291">
        <f t="shared" si="13"/>
        <v>1.27176475900752</v>
      </c>
      <c r="H63" s="291">
        <f t="shared" si="10"/>
        <v>1.16756236084281</v>
      </c>
      <c r="I63" s="305">
        <v>61000</v>
      </c>
      <c r="J63" s="292">
        <f>VLOOKUP(B63,推广数据统计!$A:$AB,23,FALSE)</f>
        <v>7522.74</v>
      </c>
      <c r="K63" s="290">
        <f t="shared" si="12"/>
        <v>84290.46</v>
      </c>
      <c r="L63" s="293">
        <f t="shared" si="11"/>
        <v>0.0819352772803911</v>
      </c>
      <c r="M63" s="307">
        <v>0.1674</v>
      </c>
      <c r="N63" s="307">
        <v>0.1563</v>
      </c>
      <c r="O63" s="306" t="s">
        <v>61</v>
      </c>
      <c r="P63" s="307">
        <v>0.0192</v>
      </c>
      <c r="Q63" s="307">
        <v>0.4709</v>
      </c>
      <c r="R63" s="307">
        <v>0.9258</v>
      </c>
      <c r="S63" s="309">
        <v>1.51</v>
      </c>
      <c r="T63" s="306">
        <v>1482</v>
      </c>
      <c r="U63" s="307">
        <v>0.0243</v>
      </c>
      <c r="Y63" s="297">
        <f>推广数据统计!AB64</f>
        <v>363</v>
      </c>
      <c r="AC63" s="292">
        <f>推广数据统计!B64+推广数据统计!AS64+推广数据统计!AV64+推广数据统计!BA64+推广数据统计!BF64</f>
        <v>72193.54</v>
      </c>
    </row>
    <row r="64" ht="14.5" spans="1:29">
      <c r="A64" s="285">
        <v>62</v>
      </c>
      <c r="B64" s="286">
        <v>45538</v>
      </c>
      <c r="D64" s="305">
        <v>71637.02</v>
      </c>
      <c r="E64" s="306">
        <v>18</v>
      </c>
      <c r="F64" s="290">
        <f t="shared" si="9"/>
        <v>55632.58</v>
      </c>
      <c r="G64" s="291">
        <f t="shared" si="13"/>
        <v>1.28768106746083</v>
      </c>
      <c r="H64" s="291">
        <f t="shared" si="10"/>
        <v>1.16657109916527</v>
      </c>
      <c r="I64" s="305">
        <v>56800</v>
      </c>
      <c r="J64" s="292">
        <f>VLOOKUP(B64,推广数据统计!$A:$AB,23,FALSE)</f>
        <v>6737.66</v>
      </c>
      <c r="K64" s="290">
        <f t="shared" si="12"/>
        <v>64899.36</v>
      </c>
      <c r="L64" s="293">
        <f t="shared" si="11"/>
        <v>0.0940527676891082</v>
      </c>
      <c r="M64" s="308">
        <v>0.1562</v>
      </c>
      <c r="N64" s="308">
        <v>0.2371</v>
      </c>
      <c r="O64" s="306" t="s">
        <v>64</v>
      </c>
      <c r="P64" s="307">
        <v>0.0159</v>
      </c>
      <c r="Q64" s="307">
        <v>0.2521</v>
      </c>
      <c r="R64" s="307">
        <v>0.9249</v>
      </c>
      <c r="S64" s="309">
        <v>1.26</v>
      </c>
      <c r="T64" s="310">
        <v>1646</v>
      </c>
      <c r="U64" s="307">
        <v>0.0323</v>
      </c>
      <c r="Y64" s="297">
        <f>推广数据统计!AB65</f>
        <v>191</v>
      </c>
      <c r="AC64" s="292">
        <f>推广数据统计!B65+推广数据统计!AS65+推广数据统计!AV65+推广数据统计!BA65+推广数据统计!BF65</f>
        <v>55632.58</v>
      </c>
    </row>
    <row r="65" ht="14.5" spans="1:29">
      <c r="A65" s="285">
        <v>63</v>
      </c>
      <c r="B65" s="286">
        <v>45539</v>
      </c>
      <c r="D65" s="305">
        <v>98485.02</v>
      </c>
      <c r="E65" s="306">
        <v>18</v>
      </c>
      <c r="F65" s="290">
        <f t="shared" si="9"/>
        <v>72455.14</v>
      </c>
      <c r="G65" s="291">
        <f t="shared" si="13"/>
        <v>1.3592551197886</v>
      </c>
      <c r="H65" s="291">
        <f t="shared" si="10"/>
        <v>1.24995134920725</v>
      </c>
      <c r="I65" s="305">
        <v>55900</v>
      </c>
      <c r="J65" s="292">
        <f>VLOOKUP(B65,推广数据统计!$A:$AB,23,FALSE)</f>
        <v>7919.62</v>
      </c>
      <c r="K65" s="290">
        <f t="shared" si="12"/>
        <v>90565.4</v>
      </c>
      <c r="L65" s="293">
        <f t="shared" si="11"/>
        <v>0.0804144630320428</v>
      </c>
      <c r="M65" s="307">
        <v>0.142</v>
      </c>
      <c r="N65" s="307">
        <v>0.1718</v>
      </c>
      <c r="O65" s="306" t="s">
        <v>65</v>
      </c>
      <c r="P65" s="307">
        <v>0.0224</v>
      </c>
      <c r="Q65" s="307">
        <v>0.4686</v>
      </c>
      <c r="R65" s="307">
        <v>0.9604</v>
      </c>
      <c r="S65" s="309">
        <v>1.76</v>
      </c>
      <c r="T65" s="306">
        <v>1402</v>
      </c>
      <c r="U65" s="307">
        <v>0.0252</v>
      </c>
      <c r="Y65" s="297">
        <f>推广数据统计!AB66</f>
        <v>377</v>
      </c>
      <c r="AC65" s="292">
        <f>推广数据统计!B66+推广数据统计!AS66+推广数据统计!AV66+推广数据统计!BA66+推广数据统计!BF66</f>
        <v>72455.14</v>
      </c>
    </row>
    <row r="66" ht="14.5" spans="1:29">
      <c r="A66" s="285">
        <v>64</v>
      </c>
      <c r="B66" s="286">
        <v>45540</v>
      </c>
      <c r="D66" s="305">
        <v>112392.52</v>
      </c>
      <c r="E66" s="306">
        <v>18</v>
      </c>
      <c r="F66" s="290">
        <f t="shared" si="9"/>
        <v>75079.01</v>
      </c>
      <c r="G66" s="291">
        <f t="shared" si="13"/>
        <v>1.49698990436874</v>
      </c>
      <c r="H66" s="291">
        <f t="shared" si="10"/>
        <v>1.37683781392429</v>
      </c>
      <c r="I66" s="305">
        <v>48800</v>
      </c>
      <c r="J66" s="292">
        <f>VLOOKUP(B66,推广数据统计!$A:$AB,23,FALSE)</f>
        <v>9020.9</v>
      </c>
      <c r="K66" s="290">
        <f t="shared" si="12"/>
        <v>103371.62</v>
      </c>
      <c r="L66" s="293">
        <f t="shared" si="11"/>
        <v>0.0802624587472547</v>
      </c>
      <c r="M66" s="307">
        <v>0.1301</v>
      </c>
      <c r="N66" s="307">
        <v>0.1974</v>
      </c>
      <c r="O66" s="306" t="s">
        <v>66</v>
      </c>
      <c r="P66" s="307">
        <v>0.0262</v>
      </c>
      <c r="Q66" s="307">
        <v>0.1043</v>
      </c>
      <c r="R66" s="307">
        <v>0.9331</v>
      </c>
      <c r="S66" s="309">
        <v>2.1</v>
      </c>
      <c r="T66" s="306">
        <v>1417</v>
      </c>
      <c r="U66" s="307">
        <v>0.0291</v>
      </c>
      <c r="Y66" s="297">
        <f>推广数据统计!AB67</f>
        <v>345</v>
      </c>
      <c r="AC66" s="292">
        <f>推广数据统计!B67+推广数据统计!AS67+推广数据统计!AV67+推广数据统计!BA67+推广数据统计!BF67</f>
        <v>75079.01</v>
      </c>
    </row>
    <row r="67" ht="14.5" spans="1:29">
      <c r="A67" s="285">
        <v>65</v>
      </c>
      <c r="B67" s="286">
        <v>45541</v>
      </c>
      <c r="D67" s="305">
        <v>152754</v>
      </c>
      <c r="E67" s="306">
        <v>18</v>
      </c>
      <c r="F67" s="290">
        <f t="shared" si="9"/>
        <v>111851.73</v>
      </c>
      <c r="G67" s="291">
        <f t="shared" si="13"/>
        <v>1.36568294473407</v>
      </c>
      <c r="H67" s="291">
        <f t="shared" si="10"/>
        <v>1.26305261438513</v>
      </c>
      <c r="I67" s="305">
        <v>56000</v>
      </c>
      <c r="J67" s="292">
        <f>VLOOKUP(B67,推广数据统计!$A:$AB,23,FALSE)</f>
        <v>11479.38</v>
      </c>
      <c r="K67" s="290">
        <f t="shared" si="12"/>
        <v>141274.62</v>
      </c>
      <c r="L67" s="293">
        <f t="shared" si="11"/>
        <v>0.0751494559880592</v>
      </c>
      <c r="M67" s="307">
        <v>0.0957</v>
      </c>
      <c r="N67" s="307">
        <v>0.1664</v>
      </c>
      <c r="O67" s="306">
        <v>121</v>
      </c>
      <c r="P67" s="307">
        <v>0.0341</v>
      </c>
      <c r="Q67" s="307">
        <v>0.4924</v>
      </c>
      <c r="R67" s="307">
        <v>0.9643</v>
      </c>
      <c r="S67" s="309">
        <v>2.73</v>
      </c>
      <c r="T67" s="306">
        <v>1459</v>
      </c>
      <c r="U67" s="307">
        <v>0.0291</v>
      </c>
      <c r="Y67" s="297">
        <f>推广数据统计!AB68</f>
        <v>516</v>
      </c>
      <c r="AC67" s="292">
        <f>推广数据统计!B68+推广数据统计!AS68+推广数据统计!AV68+推广数据统计!BA68+推广数据统计!BF68</f>
        <v>111851.73</v>
      </c>
    </row>
    <row r="68" ht="14.5" spans="1:29">
      <c r="A68" s="285">
        <v>66</v>
      </c>
      <c r="B68" s="286">
        <v>45542</v>
      </c>
      <c r="D68" s="305">
        <v>165317.65</v>
      </c>
      <c r="E68" s="306">
        <v>18</v>
      </c>
      <c r="F68" s="290">
        <f t="shared" ref="F68:F99" si="14">AC68+AD68+AE68</f>
        <v>107664.2</v>
      </c>
      <c r="G68" s="291">
        <f t="shared" si="13"/>
        <v>1.53549322801823</v>
      </c>
      <c r="H68" s="291">
        <f t="shared" si="10"/>
        <v>1.41573447812736</v>
      </c>
      <c r="I68" s="305">
        <v>57300</v>
      </c>
      <c r="J68" s="292">
        <f>VLOOKUP(B68,推广数据统计!$A:$AB,23,FALSE)</f>
        <v>12893.73</v>
      </c>
      <c r="K68" s="290">
        <f t="shared" si="12"/>
        <v>152423.92</v>
      </c>
      <c r="L68" s="293">
        <f t="shared" si="11"/>
        <v>0.0779936685526319</v>
      </c>
      <c r="M68" s="307">
        <v>0.1167</v>
      </c>
      <c r="N68" s="307">
        <v>0.1676</v>
      </c>
      <c r="O68" s="306">
        <v>111</v>
      </c>
      <c r="P68" s="307">
        <v>0.0319</v>
      </c>
      <c r="Q68" s="307">
        <v>0.5304</v>
      </c>
      <c r="R68" s="307">
        <v>0.9606</v>
      </c>
      <c r="S68" s="309">
        <v>2.54</v>
      </c>
      <c r="T68" s="310">
        <v>1549</v>
      </c>
      <c r="U68" s="307">
        <v>0.027</v>
      </c>
      <c r="Y68" s="297">
        <f>推广数据统计!AB69</f>
        <v>464</v>
      </c>
      <c r="AC68" s="292">
        <f>推广数据统计!B69+推广数据统计!AS69+推广数据统计!AV69+推广数据统计!BA69+推广数据统计!BF69</f>
        <v>107664.2</v>
      </c>
    </row>
    <row r="69" ht="14.5" spans="1:29">
      <c r="A69" s="285">
        <v>67</v>
      </c>
      <c r="B69" s="286">
        <v>45543</v>
      </c>
      <c r="D69" s="305">
        <v>205535</v>
      </c>
      <c r="E69" s="306">
        <v>18</v>
      </c>
      <c r="F69" s="290">
        <f t="shared" si="14"/>
        <v>146982.64</v>
      </c>
      <c r="G69" s="291">
        <f t="shared" si="13"/>
        <v>1.39836241885436</v>
      </c>
      <c r="H69" s="291">
        <f t="shared" si="10"/>
        <v>1.27570827411999</v>
      </c>
      <c r="I69" s="305">
        <v>74900</v>
      </c>
      <c r="J69" s="292">
        <f>VLOOKUP(B69,推广数据统计!$A:$AB,23,FALSE)</f>
        <v>18028.03</v>
      </c>
      <c r="K69" s="290">
        <f t="shared" si="12"/>
        <v>187506.97</v>
      </c>
      <c r="L69" s="293">
        <f t="shared" si="11"/>
        <v>0.0877127009998297</v>
      </c>
      <c r="M69" s="307">
        <v>0.1203</v>
      </c>
      <c r="N69" s="307">
        <v>0.1676</v>
      </c>
      <c r="O69" s="306">
        <v>103</v>
      </c>
      <c r="P69" s="307">
        <v>0.0342</v>
      </c>
      <c r="Q69" s="307">
        <v>0.6263</v>
      </c>
      <c r="R69" s="307">
        <v>0.9666</v>
      </c>
      <c r="S69" s="309">
        <v>2.74</v>
      </c>
      <c r="T69" s="306">
        <v>1777</v>
      </c>
      <c r="U69" s="307">
        <v>0.0237</v>
      </c>
      <c r="Y69" s="297">
        <f>推广数据统计!AB70</f>
        <v>624</v>
      </c>
      <c r="AC69" s="292">
        <f>推广数据统计!B70+推广数据统计!AS70+推广数据统计!AV70+推广数据统计!BA70+推广数据统计!BF70</f>
        <v>146982.64</v>
      </c>
    </row>
    <row r="70" ht="14.5" spans="1:29">
      <c r="A70" s="285">
        <v>68</v>
      </c>
      <c r="B70" s="286">
        <v>45544</v>
      </c>
      <c r="D70" s="305">
        <v>188910.92</v>
      </c>
      <c r="E70" s="306">
        <v>18</v>
      </c>
      <c r="F70" s="290">
        <f t="shared" si="14"/>
        <v>131753.86</v>
      </c>
      <c r="G70" s="291">
        <f t="shared" si="13"/>
        <v>1.43381696748771</v>
      </c>
      <c r="H70" s="291">
        <f t="shared" si="10"/>
        <v>1.32125988566863</v>
      </c>
      <c r="I70" s="305">
        <v>77900</v>
      </c>
      <c r="J70" s="292">
        <f>VLOOKUP(B70,推广数据统计!$A:$AB,23,FALSE)</f>
        <v>14829.83</v>
      </c>
      <c r="K70" s="290">
        <f t="shared" ref="K70:K83" si="15">D70-J70</f>
        <v>174081.09</v>
      </c>
      <c r="L70" s="293">
        <f t="shared" si="11"/>
        <v>0.0785017086360068</v>
      </c>
      <c r="M70" s="307">
        <v>0.1125</v>
      </c>
      <c r="N70" s="307">
        <v>0.1378</v>
      </c>
      <c r="O70" s="306">
        <v>94</v>
      </c>
      <c r="P70" s="307">
        <v>0.0288</v>
      </c>
      <c r="Q70" s="307">
        <v>0.5183</v>
      </c>
      <c r="R70" s="307">
        <v>0.9722</v>
      </c>
      <c r="S70" s="309">
        <v>2.3</v>
      </c>
      <c r="T70" s="306">
        <v>1761</v>
      </c>
      <c r="U70" s="307">
        <v>0.0226</v>
      </c>
      <c r="Y70" s="297">
        <f>推广数据统计!AB71</f>
        <v>617</v>
      </c>
      <c r="AC70" s="292">
        <f>推广数据统计!B71+推广数据统计!AS71+推广数据统计!AV71+推广数据统计!BA71+推广数据统计!BF71</f>
        <v>131753.86</v>
      </c>
    </row>
    <row r="71" ht="14.5" spans="1:29">
      <c r="A71" s="285">
        <v>69</v>
      </c>
      <c r="B71" s="286">
        <v>45545</v>
      </c>
      <c r="D71" s="305">
        <v>175952</v>
      </c>
      <c r="E71" s="306">
        <v>18</v>
      </c>
      <c r="F71" s="290">
        <f t="shared" si="14"/>
        <v>122478.49</v>
      </c>
      <c r="G71" s="291">
        <f t="shared" si="13"/>
        <v>1.43659511151713</v>
      </c>
      <c r="H71" s="291">
        <f t="shared" si="10"/>
        <v>1.31154123470987</v>
      </c>
      <c r="I71" s="305">
        <v>73700</v>
      </c>
      <c r="J71" s="292">
        <f>VLOOKUP(B71,推广数据统计!$A:$AB,23,FALSE)</f>
        <v>15316.41</v>
      </c>
      <c r="K71" s="290">
        <f t="shared" si="15"/>
        <v>160635.59</v>
      </c>
      <c r="L71" s="293">
        <f t="shared" si="11"/>
        <v>0.0870487973992907</v>
      </c>
      <c r="M71" s="307">
        <v>0.1125</v>
      </c>
      <c r="N71" s="307">
        <v>0.1374</v>
      </c>
      <c r="O71" s="306">
        <v>94</v>
      </c>
      <c r="P71" s="307">
        <v>0.028</v>
      </c>
      <c r="Q71" s="307">
        <v>0.5304</v>
      </c>
      <c r="R71" s="307">
        <v>0.9642</v>
      </c>
      <c r="S71" s="309">
        <v>2.25</v>
      </c>
      <c r="T71" s="310">
        <v>1583</v>
      </c>
      <c r="U71" s="307">
        <v>0.0215</v>
      </c>
      <c r="Y71" s="297">
        <f>推广数据统计!AB72</f>
        <v>572</v>
      </c>
      <c r="AC71" s="292">
        <f>推广数据统计!B72+推广数据统计!AS72+推广数据统计!AV72+推广数据统计!BA72+推广数据统计!BF72</f>
        <v>122478.49</v>
      </c>
    </row>
    <row r="72" ht="14.5" spans="1:29">
      <c r="A72" s="285">
        <v>70</v>
      </c>
      <c r="B72" s="286">
        <v>45546</v>
      </c>
      <c r="D72" s="305">
        <v>191854.35</v>
      </c>
      <c r="E72" s="306">
        <v>18</v>
      </c>
      <c r="F72" s="290">
        <f t="shared" si="14"/>
        <v>146583.85</v>
      </c>
      <c r="G72" s="291">
        <f t="shared" si="13"/>
        <v>1.30883688755617</v>
      </c>
      <c r="H72" s="291">
        <f t="shared" si="10"/>
        <v>1.18566677024788</v>
      </c>
      <c r="I72" s="305">
        <v>66000</v>
      </c>
      <c r="J72" s="292">
        <f>VLOOKUP(B72,推广数据统计!$A:$AB,23,FALSE)</f>
        <v>18054.75</v>
      </c>
      <c r="K72" s="290">
        <f t="shared" si="15"/>
        <v>173799.6</v>
      </c>
      <c r="L72" s="293">
        <f t="shared" si="11"/>
        <v>0.0941065448867852</v>
      </c>
      <c r="M72" s="307">
        <v>0.0897</v>
      </c>
      <c r="N72" s="307">
        <v>0.1517</v>
      </c>
      <c r="O72" s="306">
        <v>108</v>
      </c>
      <c r="P72" s="307">
        <v>0.0365</v>
      </c>
      <c r="Q72" s="307">
        <v>0.6274</v>
      </c>
      <c r="R72" s="307">
        <v>0.9788</v>
      </c>
      <c r="S72" s="309">
        <v>2.91</v>
      </c>
      <c r="T72" s="306">
        <v>1461</v>
      </c>
      <c r="U72" s="307">
        <v>0.0221</v>
      </c>
      <c r="Y72" s="297">
        <f>推广数据统计!AB73</f>
        <v>725</v>
      </c>
      <c r="AC72" s="292">
        <f>推广数据统计!B73+推广数据统计!AS73+推广数据统计!AV73+推广数据统计!BA73+推广数据统计!BF73</f>
        <v>146583.85</v>
      </c>
    </row>
    <row r="73" ht="14.5" spans="1:29">
      <c r="A73" s="285">
        <v>71</v>
      </c>
      <c r="B73" s="286">
        <v>45547</v>
      </c>
      <c r="D73" s="305">
        <v>158609</v>
      </c>
      <c r="E73" s="306">
        <v>18</v>
      </c>
      <c r="F73" s="290">
        <f t="shared" si="14"/>
        <v>109858.64</v>
      </c>
      <c r="G73" s="291">
        <f t="shared" si="13"/>
        <v>1.44375535688408</v>
      </c>
      <c r="H73" s="291">
        <f t="shared" ref="H73:H119" si="16">K73/F73</f>
        <v>1.31721910993983</v>
      </c>
      <c r="I73" s="305">
        <v>59800</v>
      </c>
      <c r="J73" s="292">
        <f>VLOOKUP(B73,推广数据统计!$A:$AB,23,FALSE)</f>
        <v>13901.1</v>
      </c>
      <c r="K73" s="290">
        <f t="shared" si="15"/>
        <v>144707.9</v>
      </c>
      <c r="L73" s="293">
        <f t="shared" si="11"/>
        <v>0.0876438285343202</v>
      </c>
      <c r="M73" s="307" t="s">
        <v>67</v>
      </c>
      <c r="N73" s="307">
        <v>0.15</v>
      </c>
      <c r="O73" s="306">
        <v>111</v>
      </c>
      <c r="P73" s="307">
        <v>0.0318</v>
      </c>
      <c r="Q73" s="307">
        <v>0.5283</v>
      </c>
      <c r="R73" s="307">
        <v>0.9666</v>
      </c>
      <c r="S73" s="309">
        <v>2.65</v>
      </c>
      <c r="T73" s="306">
        <v>1410</v>
      </c>
      <c r="U73" s="307">
        <v>0.0221</v>
      </c>
      <c r="Y73" s="297">
        <f>推广数据统计!AB74</f>
        <v>628</v>
      </c>
      <c r="AC73" s="292">
        <f>推广数据统计!B74+推广数据统计!AS74+推广数据统计!AV74+推广数据统计!BA74+推广数据统计!BF74</f>
        <v>109858.64</v>
      </c>
    </row>
    <row r="74" ht="14.5" spans="1:29">
      <c r="A74" s="285">
        <v>72</v>
      </c>
      <c r="B74" s="286">
        <v>45548</v>
      </c>
      <c r="D74" s="305">
        <v>190380</v>
      </c>
      <c r="E74" s="306">
        <v>18</v>
      </c>
      <c r="F74" s="290">
        <f t="shared" si="14"/>
        <v>140209.65</v>
      </c>
      <c r="G74" s="291">
        <f t="shared" si="13"/>
        <v>1.35782380171408</v>
      </c>
      <c r="H74" s="291">
        <f t="shared" si="16"/>
        <v>1.22602388637301</v>
      </c>
      <c r="I74" s="305">
        <v>70900</v>
      </c>
      <c r="J74" s="292">
        <f>VLOOKUP(B74,推广数据统计!$A:$AB,23,FALSE)</f>
        <v>18479.62</v>
      </c>
      <c r="K74" s="290">
        <f t="shared" si="15"/>
        <v>171900.38</v>
      </c>
      <c r="L74" s="293">
        <f t="shared" si="11"/>
        <v>0.0970670238470428</v>
      </c>
      <c r="M74" s="307">
        <v>0.1168</v>
      </c>
      <c r="N74" s="307">
        <v>0.1447</v>
      </c>
      <c r="O74" s="306">
        <v>159</v>
      </c>
      <c r="P74" s="307">
        <v>0.0336</v>
      </c>
      <c r="Q74" s="307">
        <v>0.6689</v>
      </c>
      <c r="R74" s="307">
        <v>0.9821</v>
      </c>
      <c r="S74" s="309">
        <v>2.69</v>
      </c>
      <c r="T74" s="306">
        <v>1451</v>
      </c>
      <c r="U74" s="307">
        <v>0.0205</v>
      </c>
      <c r="Y74" s="297">
        <f>推广数据统计!AB75</f>
        <v>780</v>
      </c>
      <c r="AC74" s="292">
        <f>推广数据统计!B75+推广数据统计!AS75+推广数据统计!AV75+推广数据统计!BA75+推广数据统计!BF75</f>
        <v>140209.65</v>
      </c>
    </row>
    <row r="75" ht="14.5" spans="1:29">
      <c r="A75" s="285">
        <v>73</v>
      </c>
      <c r="B75" s="286">
        <v>45549</v>
      </c>
      <c r="D75" s="305">
        <v>154605.4</v>
      </c>
      <c r="E75" s="306">
        <v>18</v>
      </c>
      <c r="F75" s="290">
        <f t="shared" si="14"/>
        <v>116363.61</v>
      </c>
      <c r="G75" s="291">
        <f t="shared" si="13"/>
        <v>1.3286404572701</v>
      </c>
      <c r="H75" s="291">
        <f t="shared" si="16"/>
        <v>1.2136898296641</v>
      </c>
      <c r="I75" s="305">
        <v>69700</v>
      </c>
      <c r="J75" s="292">
        <f>VLOOKUP(B75,推广数据统计!$A:$AB,23,FALSE)</f>
        <v>13376.07</v>
      </c>
      <c r="K75" s="290">
        <f t="shared" si="15"/>
        <v>141229.33</v>
      </c>
      <c r="L75" s="293">
        <f t="shared" si="11"/>
        <v>0.0865174825717601</v>
      </c>
      <c r="M75" s="307">
        <v>0.1071</v>
      </c>
      <c r="N75" s="307">
        <v>0.1338</v>
      </c>
      <c r="O75" s="306" t="s">
        <v>68</v>
      </c>
      <c r="P75" s="307">
        <v>0.0279</v>
      </c>
      <c r="Q75" s="307">
        <v>0.6842</v>
      </c>
      <c r="R75" s="307">
        <v>0.9736</v>
      </c>
      <c r="S75" s="309">
        <v>2.22</v>
      </c>
      <c r="T75" s="306">
        <v>1201</v>
      </c>
      <c r="U75" s="307">
        <v>0.0172</v>
      </c>
      <c r="Y75" s="297">
        <f>推广数据统计!AB76</f>
        <v>602</v>
      </c>
      <c r="AC75" s="292">
        <f>推广数据统计!B76+推广数据统计!AS76+推广数据统计!AV76+推广数据统计!BA76+推广数据统计!BF76</f>
        <v>116363.61</v>
      </c>
    </row>
    <row r="76" ht="14.5" spans="1:29">
      <c r="A76" s="285">
        <v>74</v>
      </c>
      <c r="B76" s="286">
        <v>45550</v>
      </c>
      <c r="D76" s="305">
        <v>17575.27</v>
      </c>
      <c r="E76" s="306">
        <v>18</v>
      </c>
      <c r="F76" s="290">
        <f t="shared" si="14"/>
        <v>14017.42</v>
      </c>
      <c r="G76" s="291">
        <f t="shared" si="13"/>
        <v>1.25381632283259</v>
      </c>
      <c r="H76" s="291">
        <f t="shared" si="16"/>
        <v>1.11965825380134</v>
      </c>
      <c r="I76" s="305">
        <v>31000</v>
      </c>
      <c r="J76" s="292">
        <f>VLOOKUP(B76,推广数据统计!$A:$AB,23,FALSE)</f>
        <v>1880.55</v>
      </c>
      <c r="K76" s="290">
        <f t="shared" si="15"/>
        <v>15694.72</v>
      </c>
      <c r="L76" s="293">
        <f t="shared" si="11"/>
        <v>0.106999778666274</v>
      </c>
      <c r="M76" s="307">
        <v>0.2182</v>
      </c>
      <c r="N76" s="308">
        <v>0.2214</v>
      </c>
      <c r="O76" s="306" t="s">
        <v>69</v>
      </c>
      <c r="P76" s="307">
        <v>0.0081</v>
      </c>
      <c r="Q76" s="307">
        <v>0.2443</v>
      </c>
      <c r="R76" s="307">
        <v>0.8357</v>
      </c>
      <c r="S76" s="309">
        <v>0.57</v>
      </c>
      <c r="T76" s="306">
        <v>869</v>
      </c>
      <c r="U76" s="307" t="s">
        <v>70</v>
      </c>
      <c r="Y76" s="297">
        <f>推广数据统计!AB77</f>
        <v>131</v>
      </c>
      <c r="AC76" s="292">
        <f>推广数据统计!B77+推广数据统计!AS77+推广数据统计!AV77+推广数据统计!BA77+推广数据统计!BF77</f>
        <v>14017.42</v>
      </c>
    </row>
    <row r="77" ht="14.5" spans="1:29">
      <c r="A77" s="285">
        <v>75</v>
      </c>
      <c r="B77" s="286">
        <v>45551</v>
      </c>
      <c r="D77" s="305">
        <v>15797.81</v>
      </c>
      <c r="E77" s="306">
        <v>12</v>
      </c>
      <c r="F77" s="290">
        <f t="shared" si="14"/>
        <v>13608.3</v>
      </c>
      <c r="G77" s="291">
        <f t="shared" si="13"/>
        <v>1.16089518896556</v>
      </c>
      <c r="H77" s="291">
        <f t="shared" si="16"/>
        <v>1.05063968313456</v>
      </c>
      <c r="I77" s="305">
        <v>26800</v>
      </c>
      <c r="J77" s="292">
        <f>VLOOKUP(B77,推广数据统计!$A:$AB,23,FALSE)</f>
        <v>1500.39</v>
      </c>
      <c r="K77" s="290">
        <f t="shared" si="15"/>
        <v>14297.42</v>
      </c>
      <c r="L77" s="293">
        <f t="shared" si="11"/>
        <v>0.0949745565999338</v>
      </c>
      <c r="M77" s="307">
        <v>0.1999</v>
      </c>
      <c r="N77" s="307">
        <v>0.1993</v>
      </c>
      <c r="O77" s="306" t="s">
        <v>55</v>
      </c>
      <c r="P77" s="307">
        <v>0.009</v>
      </c>
      <c r="Q77" s="307">
        <v>0.293</v>
      </c>
      <c r="R77" s="307">
        <v>0.8612</v>
      </c>
      <c r="S77" s="309">
        <v>0.59</v>
      </c>
      <c r="T77" s="306">
        <v>672</v>
      </c>
      <c r="U77" s="307" t="s">
        <v>71</v>
      </c>
      <c r="Y77" s="297">
        <f>推广数据统计!AB78</f>
        <v>91</v>
      </c>
      <c r="AC77" s="292">
        <f>推广数据统计!B78+推广数据统计!AS78+推广数据统计!AV78+推广数据统计!BA78+推广数据统计!BF78</f>
        <v>13608.3</v>
      </c>
    </row>
    <row r="78" ht="14.5" spans="1:29">
      <c r="A78" s="285">
        <v>76</v>
      </c>
      <c r="B78" s="286">
        <v>45552</v>
      </c>
      <c r="D78" s="305">
        <v>17575</v>
      </c>
      <c r="E78" s="306">
        <v>12</v>
      </c>
      <c r="F78" s="290">
        <f t="shared" si="14"/>
        <v>11795.01</v>
      </c>
      <c r="G78" s="291">
        <f t="shared" si="13"/>
        <v>1.49003688848081</v>
      </c>
      <c r="H78" s="291">
        <f t="shared" si="16"/>
        <v>1.36711372012402</v>
      </c>
      <c r="I78" s="305">
        <v>31400</v>
      </c>
      <c r="J78" s="292">
        <f>VLOOKUP(B78,推广数据统计!$A:$AB,23,FALSE)</f>
        <v>1449.88</v>
      </c>
      <c r="K78" s="290">
        <f t="shared" si="15"/>
        <v>16125.12</v>
      </c>
      <c r="L78" s="293">
        <f t="shared" si="11"/>
        <v>0.0824967283072546</v>
      </c>
      <c r="M78" s="307">
        <v>0.1788</v>
      </c>
      <c r="N78" s="307">
        <v>0.1963</v>
      </c>
      <c r="O78" s="306">
        <v>81</v>
      </c>
      <c r="P78" s="307">
        <v>0.0073</v>
      </c>
      <c r="Q78" s="307">
        <v>0.2473</v>
      </c>
      <c r="R78" s="307">
        <v>0.8051</v>
      </c>
      <c r="S78" s="309">
        <v>0.56</v>
      </c>
      <c r="T78" s="306">
        <v>884</v>
      </c>
      <c r="U78" s="307" t="s">
        <v>71</v>
      </c>
      <c r="Y78" s="297">
        <f>推广数据统计!AB79</f>
        <v>116</v>
      </c>
      <c r="AC78" s="292">
        <f>推广数据统计!B79+推广数据统计!AS79+推广数据统计!AV79+推广数据统计!BA79+推广数据统计!BF79</f>
        <v>11795.01</v>
      </c>
    </row>
    <row r="79" ht="14.5" spans="1:29">
      <c r="A79" s="285">
        <v>77</v>
      </c>
      <c r="B79" s="286">
        <v>45553</v>
      </c>
      <c r="D79" s="305">
        <v>22154</v>
      </c>
      <c r="E79" s="306">
        <v>12</v>
      </c>
      <c r="F79" s="290">
        <f t="shared" si="14"/>
        <v>14139.61</v>
      </c>
      <c r="G79" s="291">
        <f t="shared" si="13"/>
        <v>1.56680417635281</v>
      </c>
      <c r="H79" s="291">
        <f t="shared" si="16"/>
        <v>1.44721389062357</v>
      </c>
      <c r="I79" s="305">
        <v>28500</v>
      </c>
      <c r="J79" s="292">
        <f>VLOOKUP(B79,推广数据统计!$A:$AB,23,FALSE)</f>
        <v>1690.96</v>
      </c>
      <c r="K79" s="290">
        <f t="shared" si="15"/>
        <v>20463.04</v>
      </c>
      <c r="L79" s="293">
        <f t="shared" ref="L79:L99" si="17">J79/D79</f>
        <v>0.0763275255032951</v>
      </c>
      <c r="M79" s="307">
        <v>0.1694</v>
      </c>
      <c r="N79" s="307">
        <v>0.2173</v>
      </c>
      <c r="O79" s="306">
        <v>125</v>
      </c>
      <c r="P79" s="307">
        <v>0.0108</v>
      </c>
      <c r="Q79" s="307">
        <v>0.2222</v>
      </c>
      <c r="R79" s="307">
        <v>0.8656</v>
      </c>
      <c r="S79" s="309">
        <v>0.78</v>
      </c>
      <c r="T79" s="306">
        <v>790</v>
      </c>
      <c r="U79" s="307" t="s">
        <v>71</v>
      </c>
      <c r="Y79" s="297">
        <f>推广数据统计!AB80</f>
        <v>109</v>
      </c>
      <c r="AC79" s="292">
        <f>推广数据统计!B80+推广数据统计!AS80+推广数据统计!AV80+推广数据统计!BA80+推广数据统计!BF80</f>
        <v>14139.61</v>
      </c>
    </row>
    <row r="80" ht="14.5" spans="1:29">
      <c r="A80" s="285">
        <v>78</v>
      </c>
      <c r="B80" s="286">
        <v>45554</v>
      </c>
      <c r="D80" s="305">
        <v>23331.12</v>
      </c>
      <c r="E80" s="306">
        <v>12</v>
      </c>
      <c r="F80" s="290">
        <f t="shared" si="14"/>
        <v>15887.23</v>
      </c>
      <c r="G80" s="291">
        <f t="shared" si="13"/>
        <v>1.46854549219719</v>
      </c>
      <c r="H80" s="291">
        <f t="shared" si="16"/>
        <v>1.30178325611198</v>
      </c>
      <c r="I80" s="305">
        <v>23500</v>
      </c>
      <c r="J80" s="292">
        <f>VLOOKUP(B80,推广数据统计!$A:$AB,23,FALSE)</f>
        <v>2649.39</v>
      </c>
      <c r="K80" s="290">
        <f t="shared" si="15"/>
        <v>20681.73</v>
      </c>
      <c r="L80" s="293">
        <f t="shared" si="17"/>
        <v>0.113556057317437</v>
      </c>
      <c r="M80" s="307">
        <v>0.1551</v>
      </c>
      <c r="N80" s="307">
        <v>0.2126</v>
      </c>
      <c r="O80" s="306" t="s">
        <v>69</v>
      </c>
      <c r="P80" s="307">
        <v>0.0131</v>
      </c>
      <c r="Q80" s="307">
        <v>0.2868</v>
      </c>
      <c r="R80" s="307">
        <v>0.8648</v>
      </c>
      <c r="S80" s="309">
        <v>0.99</v>
      </c>
      <c r="T80" s="306">
        <v>529</v>
      </c>
      <c r="U80" s="307">
        <v>0.0226</v>
      </c>
      <c r="Y80" s="297">
        <f>推广数据统计!AB81</f>
        <v>116</v>
      </c>
      <c r="AC80" s="292">
        <f>推广数据统计!B81+推广数据统计!AS81+推广数据统计!AV81+推广数据统计!BA81+推广数据统计!BF81</f>
        <v>15887.23</v>
      </c>
    </row>
    <row r="81" ht="14.5" spans="1:29">
      <c r="A81" s="285">
        <v>79</v>
      </c>
      <c r="B81" s="286">
        <v>45555</v>
      </c>
      <c r="D81" s="305">
        <v>18349.28</v>
      </c>
      <c r="E81" s="306">
        <v>12</v>
      </c>
      <c r="F81" s="290">
        <f t="shared" si="14"/>
        <v>13132.35</v>
      </c>
      <c r="G81" s="291">
        <f t="shared" si="13"/>
        <v>1.39725791651913</v>
      </c>
      <c r="H81" s="291">
        <f t="shared" si="16"/>
        <v>1.22187651105857</v>
      </c>
      <c r="I81" s="305">
        <v>20700</v>
      </c>
      <c r="J81" s="292">
        <f>VLOOKUP(B81,推广数据统计!$A:$AB,23,FALSE)</f>
        <v>2303.17</v>
      </c>
      <c r="K81" s="290">
        <f t="shared" si="15"/>
        <v>16046.11</v>
      </c>
      <c r="L81" s="293">
        <f t="shared" si="17"/>
        <v>0.125518276466434</v>
      </c>
      <c r="M81" s="307">
        <v>0.1546</v>
      </c>
      <c r="N81" s="307">
        <v>0.2235</v>
      </c>
      <c r="O81" s="306" t="s">
        <v>72</v>
      </c>
      <c r="P81" s="307">
        <v>0.012</v>
      </c>
      <c r="Q81" s="307">
        <v>0.2723</v>
      </c>
      <c r="R81" s="307">
        <v>0.8754</v>
      </c>
      <c r="S81" s="309">
        <v>0.89</v>
      </c>
      <c r="T81" s="306">
        <v>483</v>
      </c>
      <c r="U81" s="307">
        <v>0.0233</v>
      </c>
      <c r="Y81" s="297">
        <f>推广数据统计!AB82</f>
        <v>97</v>
      </c>
      <c r="AC81" s="292">
        <f>推广数据统计!B82+推广数据统计!AS82+推广数据统计!AV82+推广数据统计!BA82+推广数据统计!BF82</f>
        <v>13132.35</v>
      </c>
    </row>
    <row r="82" ht="14.5" spans="1:29">
      <c r="A82" s="285">
        <v>80</v>
      </c>
      <c r="B82" s="286">
        <v>45556</v>
      </c>
      <c r="D82" s="305">
        <v>15651.95</v>
      </c>
      <c r="E82" s="306">
        <v>12</v>
      </c>
      <c r="F82" s="290">
        <f t="shared" si="14"/>
        <v>11837.83</v>
      </c>
      <c r="G82" s="291">
        <f t="shared" si="13"/>
        <v>1.32219756492533</v>
      </c>
      <c r="H82" s="291">
        <f t="shared" si="16"/>
        <v>1.2381137421301</v>
      </c>
      <c r="I82" s="305">
        <v>21400</v>
      </c>
      <c r="J82" s="292">
        <f>VLOOKUP(B82,推广数据统计!$A:$AB,23,FALSE)</f>
        <v>995.37</v>
      </c>
      <c r="K82" s="290">
        <f t="shared" si="15"/>
        <v>14656.58</v>
      </c>
      <c r="L82" s="293">
        <f t="shared" si="17"/>
        <v>0.0635939930807344</v>
      </c>
      <c r="M82" s="307">
        <v>0.176</v>
      </c>
      <c r="N82" s="307">
        <v>0.2376</v>
      </c>
      <c r="O82" s="306">
        <v>123</v>
      </c>
      <c r="P82" s="307">
        <v>0.0106</v>
      </c>
      <c r="Q82" s="311">
        <v>0.25</v>
      </c>
      <c r="R82" s="307">
        <v>0.8277</v>
      </c>
      <c r="S82" s="309">
        <v>0.73</v>
      </c>
      <c r="T82" s="306">
        <v>627</v>
      </c>
      <c r="U82" s="307">
        <v>0.0293</v>
      </c>
      <c r="Y82" s="297">
        <f>推广数据统计!AB83</f>
        <v>92</v>
      </c>
      <c r="AC82" s="292">
        <f>推广数据统计!B83+推广数据统计!AS83+推广数据统计!AV83+推广数据统计!BA83+推广数据统计!BF83</f>
        <v>11837.83</v>
      </c>
    </row>
    <row r="83" ht="14.5" spans="1:29">
      <c r="A83" s="285">
        <v>81</v>
      </c>
      <c r="B83" s="286">
        <v>45557</v>
      </c>
      <c r="D83" s="305">
        <v>27721</v>
      </c>
      <c r="E83" s="306">
        <v>12</v>
      </c>
      <c r="F83" s="290">
        <f t="shared" si="14"/>
        <v>18806.36</v>
      </c>
      <c r="G83" s="291">
        <f t="shared" si="13"/>
        <v>1.47402261788033</v>
      </c>
      <c r="H83" s="291">
        <f t="shared" si="16"/>
        <v>1.3183252899551</v>
      </c>
      <c r="I83" s="305">
        <v>24300</v>
      </c>
      <c r="J83" s="292">
        <f>VLOOKUP(B83,推广数据统计!$A:$AB,23,FALSE)</f>
        <v>2928.1</v>
      </c>
      <c r="K83" s="290">
        <f t="shared" si="15"/>
        <v>24792.9</v>
      </c>
      <c r="L83" s="293">
        <f t="shared" si="17"/>
        <v>0.105627502615346</v>
      </c>
      <c r="M83" s="307">
        <v>0.1126</v>
      </c>
      <c r="N83" s="307">
        <v>0.2173</v>
      </c>
      <c r="O83" s="306">
        <v>124</v>
      </c>
      <c r="P83" s="307">
        <v>0.0149</v>
      </c>
      <c r="Q83" s="307">
        <v>0.2552</v>
      </c>
      <c r="R83" s="307">
        <v>0.94</v>
      </c>
      <c r="S83" s="309">
        <v>1.14</v>
      </c>
      <c r="T83" s="306">
        <v>788</v>
      </c>
      <c r="U83" s="307">
        <v>0.0324</v>
      </c>
      <c r="Y83" s="297">
        <f>推广数据统计!AB84</f>
        <v>141</v>
      </c>
      <c r="AC83" s="292">
        <f>推广数据统计!B84+推广数据统计!AS84+推广数据统计!AV84+推广数据统计!BA84+推广数据统计!BF84</f>
        <v>18806.36</v>
      </c>
    </row>
    <row r="84" ht="14.5" spans="1:29">
      <c r="A84" s="285">
        <v>82</v>
      </c>
      <c r="B84" s="286">
        <v>45558</v>
      </c>
      <c r="F84" s="290">
        <f t="shared" si="14"/>
        <v>14101.09</v>
      </c>
      <c r="G84" s="291">
        <f t="shared" si="13"/>
        <v>0</v>
      </c>
      <c r="H84" s="291">
        <f t="shared" si="16"/>
        <v>-0.111614775879028</v>
      </c>
      <c r="J84" s="292">
        <f>VLOOKUP(B84,推广数据统计!$A:$AB,23,FALSE)</f>
        <v>1573.89</v>
      </c>
      <c r="K84" s="290">
        <f t="shared" ref="K84:K98" si="18">D84-J84</f>
        <v>-1573.89</v>
      </c>
      <c r="L84" s="293" t="e">
        <f t="shared" si="17"/>
        <v>#DIV/0!</v>
      </c>
      <c r="Y84" s="297">
        <f>推广数据统计!AB85</f>
        <v>95</v>
      </c>
      <c r="AC84" s="292">
        <f>推广数据统计!B85+推广数据统计!AS85+推广数据统计!AV85+推广数据统计!BA85+推广数据统计!BF85</f>
        <v>14101.09</v>
      </c>
    </row>
    <row r="85" ht="14.5" spans="1:29">
      <c r="A85" s="285">
        <v>83</v>
      </c>
      <c r="B85" s="286">
        <v>45559</v>
      </c>
      <c r="D85" s="305">
        <v>21187.45</v>
      </c>
      <c r="E85" s="306">
        <v>12</v>
      </c>
      <c r="F85" s="290">
        <f t="shared" si="14"/>
        <v>15051.22</v>
      </c>
      <c r="G85" s="291">
        <f t="shared" si="13"/>
        <v>1.40768987497359</v>
      </c>
      <c r="H85" s="291">
        <f t="shared" si="16"/>
        <v>1.31636837412515</v>
      </c>
      <c r="I85" s="305">
        <v>25700</v>
      </c>
      <c r="J85" s="292">
        <f>VLOOKUP(B85,推广数据统计!$A:$AB,23,FALSE)</f>
        <v>1374.5</v>
      </c>
      <c r="K85" s="290">
        <f t="shared" si="18"/>
        <v>19812.95</v>
      </c>
      <c r="L85" s="293">
        <f t="shared" si="17"/>
        <v>0.0648733094355385</v>
      </c>
      <c r="M85" s="311">
        <v>0.17</v>
      </c>
      <c r="N85" s="307">
        <v>0.2199</v>
      </c>
      <c r="O85" s="306">
        <v>123</v>
      </c>
      <c r="P85" s="307">
        <v>0.0116</v>
      </c>
      <c r="Q85" s="307">
        <v>0.2369</v>
      </c>
      <c r="R85" s="307">
        <v>0.891</v>
      </c>
      <c r="S85" s="309">
        <v>0.82</v>
      </c>
      <c r="T85" s="306">
        <v>807</v>
      </c>
      <c r="U85" s="307">
        <v>0.0314</v>
      </c>
      <c r="Y85" s="297">
        <f>推广数据统计!AB86</f>
        <v>92</v>
      </c>
      <c r="AC85" s="292">
        <f>推广数据统计!B86+推广数据统计!AS86+推广数据统计!AV86+推广数据统计!BA86+推广数据统计!BF86</f>
        <v>15051.22</v>
      </c>
    </row>
    <row r="86" ht="14.5" spans="1:29">
      <c r="A86" s="285">
        <v>84</v>
      </c>
      <c r="B86" s="286">
        <v>45560</v>
      </c>
      <c r="D86" s="305">
        <v>14699.3</v>
      </c>
      <c r="E86" s="306">
        <v>12</v>
      </c>
      <c r="F86" s="290">
        <f t="shared" si="14"/>
        <v>11082.06</v>
      </c>
      <c r="G86" s="291">
        <f t="shared" ref="G86:G118" si="19">D86/F86</f>
        <v>1.32640501856153</v>
      </c>
      <c r="H86" s="291">
        <f t="shared" si="16"/>
        <v>1.16132018776292</v>
      </c>
      <c r="I86" s="305">
        <v>19000</v>
      </c>
      <c r="J86" s="292">
        <f>VLOOKUP(B86,推广数据统计!$A:$AB,23,FALSE)</f>
        <v>1829.48</v>
      </c>
      <c r="K86" s="290">
        <f t="shared" si="18"/>
        <v>12869.82</v>
      </c>
      <c r="L86" s="293">
        <f t="shared" si="17"/>
        <v>0.124460348451967</v>
      </c>
      <c r="M86" s="307">
        <v>0.1766</v>
      </c>
      <c r="N86" s="307">
        <v>0.2512</v>
      </c>
      <c r="O86" s="306">
        <v>154</v>
      </c>
      <c r="P86" s="307">
        <v>0.0112</v>
      </c>
      <c r="Q86" s="307">
        <v>0.2092</v>
      </c>
      <c r="R86" s="307">
        <v>0.8997</v>
      </c>
      <c r="S86" s="309">
        <v>0.77</v>
      </c>
      <c r="T86" s="306">
        <v>503</v>
      </c>
      <c r="U86" s="307">
        <v>0.0265</v>
      </c>
      <c r="Y86" s="297">
        <f>推广数据统计!AB87</f>
        <v>72</v>
      </c>
      <c r="AC86" s="292">
        <f>推广数据统计!B87+推广数据统计!AS87+推广数据统计!AV87+推广数据统计!BA87+推广数据统计!BF87</f>
        <v>11082.06</v>
      </c>
    </row>
    <row r="87" ht="14.5" spans="1:29">
      <c r="A87" s="285">
        <v>85</v>
      </c>
      <c r="B87" s="286">
        <v>45561</v>
      </c>
      <c r="D87" s="305">
        <v>11506.95</v>
      </c>
      <c r="E87" s="306">
        <v>12</v>
      </c>
      <c r="F87" s="290">
        <f t="shared" si="14"/>
        <v>7503.19</v>
      </c>
      <c r="G87" s="291">
        <f t="shared" si="19"/>
        <v>1.53360770552258</v>
      </c>
      <c r="H87" s="291">
        <f t="shared" si="16"/>
        <v>1.41582047102632</v>
      </c>
      <c r="I87" s="305">
        <v>15500</v>
      </c>
      <c r="J87" s="292">
        <f>VLOOKUP(B87,推广数据统计!$A:$AB,23,FALSE)</f>
        <v>883.78</v>
      </c>
      <c r="K87" s="290">
        <f t="shared" si="18"/>
        <v>10623.17</v>
      </c>
      <c r="L87" s="293">
        <f t="shared" si="17"/>
        <v>0.0768040184410291</v>
      </c>
      <c r="M87" s="307">
        <v>0.0943</v>
      </c>
      <c r="N87" s="307">
        <v>0.2049</v>
      </c>
      <c r="O87" s="306">
        <v>131</v>
      </c>
      <c r="P87" s="311">
        <v>0.01</v>
      </c>
      <c r="Q87" s="307">
        <v>0.2064</v>
      </c>
      <c r="R87" s="307">
        <v>0.8327</v>
      </c>
      <c r="S87" s="309">
        <v>0.74</v>
      </c>
      <c r="T87" s="306">
        <v>310</v>
      </c>
      <c r="U87" s="307">
        <v>0.02</v>
      </c>
      <c r="Y87" s="297">
        <f>推广数据统计!AB88</f>
        <v>47</v>
      </c>
      <c r="AC87" s="292">
        <f>推广数据统计!B88+推广数据统计!AS88+推广数据统计!AV88+推广数据统计!BA88+推广数据统计!BF88</f>
        <v>7503.19</v>
      </c>
    </row>
    <row r="88" ht="14.5" spans="1:29">
      <c r="A88" s="285">
        <v>86</v>
      </c>
      <c r="B88" s="286">
        <v>45562</v>
      </c>
      <c r="D88" s="305">
        <v>16717</v>
      </c>
      <c r="E88" s="306">
        <v>12</v>
      </c>
      <c r="F88" s="290">
        <f t="shared" si="14"/>
        <v>10292.89</v>
      </c>
      <c r="G88" s="291">
        <f t="shared" si="19"/>
        <v>1.6241308320598</v>
      </c>
      <c r="H88" s="291">
        <f t="shared" si="16"/>
        <v>1.50234968021615</v>
      </c>
      <c r="I88" s="305">
        <v>6514</v>
      </c>
      <c r="J88" s="292">
        <f>VLOOKUP(B88,推广数据统计!$A:$AB,23,FALSE)</f>
        <v>1253.48</v>
      </c>
      <c r="K88" s="290">
        <f t="shared" si="18"/>
        <v>15463.52</v>
      </c>
      <c r="L88" s="293">
        <f t="shared" si="17"/>
        <v>0.074982353293055</v>
      </c>
      <c r="M88" s="307">
        <v>0.0668</v>
      </c>
      <c r="N88" s="307">
        <v>0.0534</v>
      </c>
      <c r="O88" s="306">
        <v>65</v>
      </c>
      <c r="P88" s="311">
        <v>0.06</v>
      </c>
      <c r="Q88" s="307"/>
      <c r="R88" s="307"/>
      <c r="S88" s="309">
        <v>2.57</v>
      </c>
      <c r="T88" s="306">
        <v>64</v>
      </c>
      <c r="U88" s="307">
        <v>0.0098</v>
      </c>
      <c r="Y88" s="297">
        <f>推广数据统计!AB89</f>
        <v>71</v>
      </c>
      <c r="AC88" s="292">
        <f>推广数据统计!B89+推广数据统计!AS89+推广数据统计!AV89+推广数据统计!BA89+推广数据统计!BF89</f>
        <v>10292.89</v>
      </c>
    </row>
    <row r="89" ht="14.5" spans="1:29">
      <c r="A89" s="285">
        <v>87</v>
      </c>
      <c r="B89" s="286">
        <v>45563</v>
      </c>
      <c r="D89" s="305">
        <v>17427.5</v>
      </c>
      <c r="E89" s="306">
        <v>12</v>
      </c>
      <c r="F89" s="290">
        <f t="shared" si="14"/>
        <v>11226.43</v>
      </c>
      <c r="G89" s="291">
        <f t="shared" si="19"/>
        <v>1.55236348509722</v>
      </c>
      <c r="H89" s="291">
        <f t="shared" si="16"/>
        <v>1.44854686663525</v>
      </c>
      <c r="I89" s="305">
        <v>23400</v>
      </c>
      <c r="J89" s="292">
        <f>VLOOKUP(B89,推广数据统计!$A:$AB,23,FALSE)</f>
        <v>1165.49</v>
      </c>
      <c r="K89" s="290">
        <f t="shared" si="18"/>
        <v>16262.01</v>
      </c>
      <c r="L89" s="293">
        <f t="shared" si="17"/>
        <v>0.0668764883087075</v>
      </c>
      <c r="M89" s="307">
        <v>0.076</v>
      </c>
      <c r="N89" s="307">
        <v>0.1013</v>
      </c>
      <c r="O89" s="306">
        <v>81</v>
      </c>
      <c r="P89" s="307">
        <v>0.0101</v>
      </c>
      <c r="Q89" s="307">
        <v>0.2445</v>
      </c>
      <c r="R89" s="307">
        <v>0.8503</v>
      </c>
      <c r="S89" s="309">
        <v>0.74</v>
      </c>
      <c r="T89" s="306">
        <v>235</v>
      </c>
      <c r="U89" s="307">
        <v>0.01</v>
      </c>
      <c r="Y89" s="297">
        <f>推广数据统计!AB90</f>
        <v>95</v>
      </c>
      <c r="AC89" s="292">
        <f>推广数据统计!B90+推广数据统计!AS90+推广数据统计!AV90+推广数据统计!BA90+推广数据统计!BF90</f>
        <v>11226.43</v>
      </c>
    </row>
    <row r="90" ht="14.5" spans="1:29">
      <c r="A90" s="285">
        <v>88</v>
      </c>
      <c r="B90" s="286">
        <v>45564</v>
      </c>
      <c r="D90" s="305">
        <v>18573.98</v>
      </c>
      <c r="E90" s="306">
        <v>12</v>
      </c>
      <c r="F90" s="290">
        <f t="shared" si="14"/>
        <v>13695.8</v>
      </c>
      <c r="G90" s="291">
        <f t="shared" si="19"/>
        <v>1.35618072693819</v>
      </c>
      <c r="H90" s="291">
        <f t="shared" si="16"/>
        <v>1.2166211539304</v>
      </c>
      <c r="I90" s="305">
        <v>20200</v>
      </c>
      <c r="J90" s="292">
        <f>VLOOKUP(B90,推广数据统计!$A:$AB,23,FALSE)</f>
        <v>1911.38</v>
      </c>
      <c r="K90" s="290">
        <f t="shared" si="18"/>
        <v>16662.6</v>
      </c>
      <c r="L90" s="293">
        <f t="shared" si="17"/>
        <v>0.102906323792747</v>
      </c>
      <c r="M90" s="307">
        <v>0.126</v>
      </c>
      <c r="N90" s="307">
        <v>0.1215</v>
      </c>
      <c r="O90" s="306" t="s">
        <v>55</v>
      </c>
      <c r="P90" s="307">
        <v>0.0132</v>
      </c>
      <c r="Q90" s="307">
        <v>0.3348</v>
      </c>
      <c r="R90" s="307">
        <v>0.9192</v>
      </c>
      <c r="S90" s="309">
        <v>0.92</v>
      </c>
      <c r="T90" s="306">
        <v>238</v>
      </c>
      <c r="U90" s="307">
        <v>0.0118</v>
      </c>
      <c r="Y90" s="297">
        <f>推广数据统计!AB91</f>
        <v>73</v>
      </c>
      <c r="AC90" s="292">
        <f>推广数据统计!B91+推广数据统计!AS91+推广数据统计!AV91+推广数据统计!BA91+推广数据统计!BF91</f>
        <v>13695.8</v>
      </c>
    </row>
    <row r="91" ht="14.5" spans="1:29">
      <c r="A91" s="285">
        <v>89</v>
      </c>
      <c r="B91" s="286">
        <v>45565</v>
      </c>
      <c r="D91" s="305">
        <v>147188</v>
      </c>
      <c r="E91" s="306">
        <v>18</v>
      </c>
      <c r="F91" s="290">
        <f t="shared" si="14"/>
        <v>103304.5</v>
      </c>
      <c r="G91" s="291">
        <f t="shared" si="19"/>
        <v>1.4247975644817</v>
      </c>
      <c r="H91" s="291">
        <f t="shared" si="16"/>
        <v>1.31978626294111</v>
      </c>
      <c r="I91" s="305">
        <v>74200</v>
      </c>
      <c r="J91" s="292">
        <f>VLOOKUP(B91,推广数据统计!$A:$AB,23,FALSE)</f>
        <v>10848.14</v>
      </c>
      <c r="K91" s="290">
        <f t="shared" si="18"/>
        <v>136339.86</v>
      </c>
      <c r="L91" s="293">
        <f t="shared" si="17"/>
        <v>0.0737026116259478</v>
      </c>
      <c r="M91" s="307" t="s">
        <v>73</v>
      </c>
      <c r="N91" s="307">
        <v>0.1215</v>
      </c>
      <c r="O91" s="306">
        <v>95</v>
      </c>
      <c r="P91" s="307">
        <v>0.0258</v>
      </c>
      <c r="Q91" s="307">
        <v>0.7664</v>
      </c>
      <c r="R91" s="307"/>
      <c r="S91" s="309">
        <v>1.98</v>
      </c>
      <c r="T91" s="306">
        <v>931</v>
      </c>
      <c r="U91" s="307">
        <v>0.0125</v>
      </c>
      <c r="Y91" s="297">
        <f>推广数据统计!AB92</f>
        <v>538</v>
      </c>
      <c r="AC91" s="292">
        <f>推广数据统计!B92+推广数据统计!AS92+推广数据统计!AV92+推广数据统计!BA92+推广数据统计!BF92</f>
        <v>103304.5</v>
      </c>
    </row>
    <row r="92" ht="14.5" spans="1:29">
      <c r="A92" s="285">
        <v>90</v>
      </c>
      <c r="B92" s="286">
        <v>45566</v>
      </c>
      <c r="D92" s="305">
        <v>121043</v>
      </c>
      <c r="E92" s="306">
        <v>18</v>
      </c>
      <c r="F92" s="290">
        <f t="shared" si="14"/>
        <v>89028.32</v>
      </c>
      <c r="G92" s="291">
        <f t="shared" si="19"/>
        <v>1.35960107974631</v>
      </c>
      <c r="H92" s="291">
        <f t="shared" si="16"/>
        <v>1.27161514448436</v>
      </c>
      <c r="I92" s="305">
        <v>71300</v>
      </c>
      <c r="J92" s="292">
        <f>VLOOKUP(B92,推广数据统计!$A:$AB,23,FALSE)</f>
        <v>7833.24</v>
      </c>
      <c r="K92" s="290">
        <f t="shared" si="18"/>
        <v>113209.76</v>
      </c>
      <c r="L92" s="293">
        <f t="shared" si="17"/>
        <v>0.0647145229381294</v>
      </c>
      <c r="M92" s="307">
        <v>0.113</v>
      </c>
      <c r="N92" s="306"/>
      <c r="O92" s="306">
        <v>108</v>
      </c>
      <c r="P92" s="307">
        <v>0.022</v>
      </c>
      <c r="Q92" s="307">
        <v>0.7835</v>
      </c>
      <c r="R92" s="306"/>
      <c r="S92" s="309">
        <v>1.7</v>
      </c>
      <c r="T92" s="306">
        <v>805</v>
      </c>
      <c r="U92" s="307">
        <v>0.0113</v>
      </c>
      <c r="Y92" s="297">
        <f>推广数据统计!AB93</f>
        <v>480</v>
      </c>
      <c r="AC92" s="292">
        <f>推广数据统计!B93+推广数据统计!AS93+推广数据统计!AV93+推广数据统计!BA93+推广数据统计!BF93</f>
        <v>89028.32</v>
      </c>
    </row>
    <row r="93" ht="14.5" spans="1:29">
      <c r="A93" s="285">
        <v>91</v>
      </c>
      <c r="B93" s="286">
        <v>45567</v>
      </c>
      <c r="D93" s="305">
        <v>139291</v>
      </c>
      <c r="E93" s="306">
        <v>18</v>
      </c>
      <c r="F93" s="290">
        <f t="shared" si="14"/>
        <v>102502.64</v>
      </c>
      <c r="G93" s="291">
        <f t="shared" si="19"/>
        <v>1.35890158536405</v>
      </c>
      <c r="H93" s="291">
        <f t="shared" si="16"/>
        <v>1.25799062346102</v>
      </c>
      <c r="I93" s="305">
        <v>82400</v>
      </c>
      <c r="J93" s="292">
        <f>VLOOKUP(B93,推广数据统计!$A:$AB,23,FALSE)</f>
        <v>10343.64</v>
      </c>
      <c r="K93" s="290">
        <f t="shared" si="18"/>
        <v>128947.36</v>
      </c>
      <c r="L93" s="293">
        <f t="shared" si="17"/>
        <v>0.0742592127273119</v>
      </c>
      <c r="M93" s="307">
        <v>0.1227</v>
      </c>
      <c r="N93" s="306"/>
      <c r="O93" s="306">
        <v>93</v>
      </c>
      <c r="P93" s="307">
        <v>0.0246</v>
      </c>
      <c r="Q93" s="307">
        <v>0.833</v>
      </c>
      <c r="R93" s="306"/>
      <c r="S93" s="309">
        <v>1.69</v>
      </c>
      <c r="T93" s="306">
        <v>935</v>
      </c>
      <c r="U93" s="307">
        <v>0.0113</v>
      </c>
      <c r="Y93" s="297">
        <f>推广数据统计!AB94</f>
        <v>533</v>
      </c>
      <c r="AC93" s="292">
        <f>推广数据统计!B94+推广数据统计!AS94+推广数据统计!AV94+推广数据统计!BA94+推广数据统计!BF94</f>
        <v>102502.64</v>
      </c>
    </row>
    <row r="94" ht="14.5" spans="1:29">
      <c r="A94" s="285">
        <v>92</v>
      </c>
      <c r="B94" s="286">
        <v>45568</v>
      </c>
      <c r="D94" s="305">
        <v>96681</v>
      </c>
      <c r="E94" s="306">
        <v>18</v>
      </c>
      <c r="F94" s="290">
        <f t="shared" si="14"/>
        <v>70578.97</v>
      </c>
      <c r="G94" s="291">
        <f t="shared" si="19"/>
        <v>1.36982730124852</v>
      </c>
      <c r="H94" s="291">
        <f t="shared" si="16"/>
        <v>1.27406889049245</v>
      </c>
      <c r="I94" s="305">
        <v>70558</v>
      </c>
      <c r="J94" s="292">
        <f>VLOOKUP(B94,推广数据统计!$A:$AB,23,FALSE)</f>
        <v>6758.53</v>
      </c>
      <c r="K94" s="290">
        <f t="shared" si="18"/>
        <v>89922.47</v>
      </c>
      <c r="L94" s="293">
        <f t="shared" si="17"/>
        <v>0.069905462293522</v>
      </c>
      <c r="M94" s="307">
        <v>0.1189</v>
      </c>
      <c r="N94" s="306"/>
      <c r="O94" s="312" t="s">
        <v>74</v>
      </c>
      <c r="P94" s="307">
        <v>0.0263</v>
      </c>
      <c r="Q94" s="307">
        <v>0.7123</v>
      </c>
      <c r="R94" s="306"/>
      <c r="S94" s="309">
        <v>1.37</v>
      </c>
      <c r="T94" s="306">
        <v>669</v>
      </c>
      <c r="U94" s="307">
        <v>0.0095</v>
      </c>
      <c r="Y94" s="297">
        <f>推广数据统计!AB95</f>
        <v>432</v>
      </c>
      <c r="AC94" s="292">
        <f>推广数据统计!B95+推广数据统计!AS95+推广数据统计!AV95+推广数据统计!BA95+推广数据统计!BF95</f>
        <v>70578.97</v>
      </c>
    </row>
    <row r="95" ht="14.5" spans="1:29">
      <c r="A95" s="285">
        <v>93</v>
      </c>
      <c r="B95" s="286">
        <v>45569</v>
      </c>
      <c r="D95" s="305">
        <v>88136</v>
      </c>
      <c r="E95" s="306">
        <v>18</v>
      </c>
      <c r="F95" s="290">
        <f t="shared" si="14"/>
        <v>60135.81</v>
      </c>
      <c r="G95" s="291">
        <f t="shared" si="19"/>
        <v>1.46561591171716</v>
      </c>
      <c r="H95" s="291">
        <f t="shared" si="16"/>
        <v>1.37093638549144</v>
      </c>
      <c r="I95" s="305">
        <v>42200</v>
      </c>
      <c r="J95" s="292">
        <f>VLOOKUP(B95,推广数据统计!$A:$AB,23,FALSE)</f>
        <v>5693.63</v>
      </c>
      <c r="K95" s="290">
        <f t="shared" si="18"/>
        <v>82442.37</v>
      </c>
      <c r="L95" s="293">
        <f t="shared" si="17"/>
        <v>0.0646005037669057</v>
      </c>
      <c r="M95" s="307">
        <v>0.111</v>
      </c>
      <c r="N95" s="306"/>
      <c r="O95" s="306">
        <v>99</v>
      </c>
      <c r="P95" s="307">
        <v>0.0274</v>
      </c>
      <c r="Q95" s="307">
        <v>0.6492</v>
      </c>
      <c r="R95" s="306"/>
      <c r="S95" s="309">
        <v>2.09</v>
      </c>
      <c r="T95" s="306">
        <v>616</v>
      </c>
      <c r="U95" s="307">
        <v>0.0146</v>
      </c>
      <c r="Y95" s="297">
        <f>推广数据统计!AB96</f>
        <v>340</v>
      </c>
      <c r="AC95" s="292">
        <f>推广数据统计!B96+推广数据统计!AS96+推广数据统计!AV96+推广数据统计!BA96+推广数据统计!BF96</f>
        <v>60135.81</v>
      </c>
    </row>
    <row r="96" ht="14.5" spans="1:29">
      <c r="A96" s="285">
        <v>94</v>
      </c>
      <c r="B96" s="286">
        <v>45570</v>
      </c>
      <c r="D96" s="305">
        <v>73529</v>
      </c>
      <c r="E96" s="306">
        <v>18</v>
      </c>
      <c r="F96" s="290">
        <f t="shared" si="14"/>
        <v>52413.55</v>
      </c>
      <c r="G96" s="291">
        <f t="shared" si="19"/>
        <v>1.40286242775008</v>
      </c>
      <c r="H96" s="291">
        <f t="shared" si="16"/>
        <v>1.30351330905844</v>
      </c>
      <c r="I96" s="305">
        <v>36400</v>
      </c>
      <c r="J96" s="292">
        <f>VLOOKUP(B96,推广数据统计!$A:$AB,23,FALSE)</f>
        <v>5207.24</v>
      </c>
      <c r="K96" s="290">
        <f t="shared" si="18"/>
        <v>68321.76</v>
      </c>
      <c r="L96" s="293">
        <f t="shared" si="17"/>
        <v>0.0708188605856193</v>
      </c>
      <c r="M96" s="307">
        <v>0.101</v>
      </c>
      <c r="N96" s="306"/>
      <c r="O96" s="306">
        <v>97</v>
      </c>
      <c r="P96" s="307">
        <v>0.0264</v>
      </c>
      <c r="Q96" s="307">
        <v>0.6492</v>
      </c>
      <c r="R96" s="306"/>
      <c r="S96" s="309">
        <v>2.02</v>
      </c>
      <c r="T96" s="306">
        <v>512</v>
      </c>
      <c r="U96" s="307">
        <v>0.0141</v>
      </c>
      <c r="Y96" s="297">
        <f>推广数据统计!AB97</f>
        <v>213</v>
      </c>
      <c r="AC96" s="292">
        <f>推广数据统计!B97+推广数据统计!AS97+推广数据统计!AV97+推广数据统计!BA97+推广数据统计!BF97</f>
        <v>52413.55</v>
      </c>
    </row>
    <row r="97" ht="14.5" spans="1:29">
      <c r="A97" s="285">
        <v>95</v>
      </c>
      <c r="B97" s="286">
        <v>45571</v>
      </c>
      <c r="D97" s="305">
        <v>86487</v>
      </c>
      <c r="E97" s="306">
        <v>18</v>
      </c>
      <c r="F97" s="290">
        <f t="shared" si="14"/>
        <v>65277.63</v>
      </c>
      <c r="G97" s="291">
        <f t="shared" si="19"/>
        <v>1.3249102334138</v>
      </c>
      <c r="H97" s="291">
        <f t="shared" si="16"/>
        <v>1.22241938011536</v>
      </c>
      <c r="I97" s="305">
        <v>44400</v>
      </c>
      <c r="J97" s="292">
        <f>VLOOKUP(B97,推广数据统计!$A:$AB,23,FALSE)</f>
        <v>6690.36</v>
      </c>
      <c r="K97" s="290">
        <f t="shared" si="18"/>
        <v>79796.64</v>
      </c>
      <c r="L97" s="293">
        <f t="shared" si="17"/>
        <v>0.0773568281938326</v>
      </c>
      <c r="M97" s="307">
        <v>0.0967</v>
      </c>
      <c r="N97" s="306"/>
      <c r="O97" s="306">
        <v>98</v>
      </c>
      <c r="P97" s="307">
        <v>0.0264</v>
      </c>
      <c r="Q97" s="307">
        <v>0.6922</v>
      </c>
      <c r="R97" s="306"/>
      <c r="S97" s="309">
        <v>1.95</v>
      </c>
      <c r="T97" s="306">
        <v>604</v>
      </c>
      <c r="U97" s="307">
        <v>0.0136</v>
      </c>
      <c r="Y97" s="297">
        <f>推广数据统计!AB98</f>
        <v>315</v>
      </c>
      <c r="AC97" s="292">
        <f>推广数据统计!B98+推广数据统计!AS98+推广数据统计!AV98+推广数据统计!BA98+推广数据统计!BF98</f>
        <v>65277.63</v>
      </c>
    </row>
    <row r="98" ht="14.5" spans="1:29">
      <c r="A98" s="285">
        <v>96</v>
      </c>
      <c r="B98" s="286">
        <v>45572</v>
      </c>
      <c r="D98" s="305">
        <v>90800.33</v>
      </c>
      <c r="E98" s="306">
        <v>18</v>
      </c>
      <c r="F98" s="290">
        <f t="shared" si="14"/>
        <v>65991.68</v>
      </c>
      <c r="G98" s="291">
        <f t="shared" si="19"/>
        <v>1.37593602708705</v>
      </c>
      <c r="H98" s="291">
        <f t="shared" si="16"/>
        <v>1.27642605855768</v>
      </c>
      <c r="I98" s="305">
        <v>41500</v>
      </c>
      <c r="J98" s="292">
        <f>VLOOKUP(B98,推广数据统计!$A:$AB,23,FALSE)</f>
        <v>6566.83</v>
      </c>
      <c r="K98" s="290">
        <f t="shared" si="18"/>
        <v>84233.5</v>
      </c>
      <c r="L98" s="293">
        <f t="shared" si="17"/>
        <v>0.0723216534565458</v>
      </c>
      <c r="M98" s="311">
        <v>0.12</v>
      </c>
      <c r="N98" s="307">
        <v>0.1266</v>
      </c>
      <c r="O98" s="306">
        <v>107</v>
      </c>
      <c r="P98" s="307">
        <v>0.0289</v>
      </c>
      <c r="Q98" s="307">
        <v>0.6611</v>
      </c>
      <c r="R98" s="307">
        <v>0.9304</v>
      </c>
      <c r="S98" s="309">
        <v>2.19</v>
      </c>
      <c r="T98" s="306">
        <v>531</v>
      </c>
      <c r="U98" s="307">
        <v>0.0128</v>
      </c>
      <c r="Y98" s="297">
        <f>推广数据统计!AB99</f>
        <v>273</v>
      </c>
      <c r="AC98" s="292">
        <f>推广数据统计!B99+推广数据统计!AS99+推广数据统计!AV99+推广数据统计!BA99+推广数据统计!BF99</f>
        <v>65991.68</v>
      </c>
    </row>
    <row r="99" ht="14.5" spans="1:29">
      <c r="A99" s="285">
        <v>97</v>
      </c>
      <c r="B99" s="286">
        <v>45573</v>
      </c>
      <c r="D99" s="305">
        <v>110394.37</v>
      </c>
      <c r="E99" s="306">
        <v>18</v>
      </c>
      <c r="F99" s="290">
        <f t="shared" si="14"/>
        <v>75685.47</v>
      </c>
      <c r="G99" s="291">
        <f t="shared" si="19"/>
        <v>1.45859396790428</v>
      </c>
      <c r="H99" s="291">
        <f t="shared" si="16"/>
        <v>1.35404470633531</v>
      </c>
      <c r="I99" s="305">
        <v>48000</v>
      </c>
      <c r="J99" s="292">
        <f>VLOOKUP(B99,推广数据统计!$A:$AB,23,FALSE)</f>
        <v>7912.86</v>
      </c>
      <c r="K99" s="290">
        <f t="shared" ref="K99:K111" si="20">D99-J99</f>
        <v>102481.51</v>
      </c>
      <c r="L99" s="293">
        <f t="shared" si="17"/>
        <v>0.07167811184574</v>
      </c>
      <c r="M99" s="307">
        <v>0.1351</v>
      </c>
      <c r="N99" s="307">
        <v>0.1123</v>
      </c>
      <c r="O99" s="306">
        <v>105</v>
      </c>
      <c r="P99" s="307">
        <v>0.0304</v>
      </c>
      <c r="Q99" s="307">
        <v>0.7057</v>
      </c>
      <c r="R99" s="307">
        <v>0.889</v>
      </c>
      <c r="S99" s="309">
        <v>2.3</v>
      </c>
      <c r="T99" s="306">
        <v>577</v>
      </c>
      <c r="U99" s="307">
        <v>0.012</v>
      </c>
      <c r="Y99" s="297">
        <f>推广数据统计!AB100</f>
        <v>242</v>
      </c>
      <c r="AC99" s="292">
        <f>推广数据统计!B100+推广数据统计!AS100+推广数据统计!AV100+推广数据统计!BA100+推广数据统计!BF100</f>
        <v>75685.47</v>
      </c>
    </row>
    <row r="100" ht="14.5" spans="1:29">
      <c r="A100" s="285">
        <v>98</v>
      </c>
      <c r="B100" s="286">
        <v>45574</v>
      </c>
      <c r="D100" s="305" t="s">
        <v>75</v>
      </c>
      <c r="E100" s="306">
        <v>0</v>
      </c>
      <c r="F100" s="290">
        <f t="shared" ref="F100:F118" si="21">AC100+AD100+AE100</f>
        <v>88.34</v>
      </c>
      <c r="G100" s="291" t="e">
        <f t="shared" si="19"/>
        <v>#VALUE!</v>
      </c>
      <c r="H100" s="291" t="e">
        <f t="shared" si="16"/>
        <v>#VALUE!</v>
      </c>
      <c r="I100" s="305"/>
      <c r="J100" s="292">
        <f>VLOOKUP(B100,推广数据统计!$A:$AB,23,FALSE)</f>
        <v>0</v>
      </c>
      <c r="K100" s="290" t="e">
        <f t="shared" si="20"/>
        <v>#VALUE!</v>
      </c>
      <c r="L100" s="293" t="e">
        <f t="shared" ref="L100:L119" si="22">J100/D100</f>
        <v>#VALUE!</v>
      </c>
      <c r="M100" s="307"/>
      <c r="N100" s="307"/>
      <c r="O100" s="306"/>
      <c r="P100" s="307"/>
      <c r="Q100" s="307"/>
      <c r="R100" s="307"/>
      <c r="S100" s="309"/>
      <c r="T100" s="306"/>
      <c r="U100" s="307"/>
      <c r="Y100" s="297">
        <f>推广数据统计!AB101</f>
        <v>1</v>
      </c>
      <c r="AC100" s="292">
        <f>推广数据统计!B101+推广数据统计!AS101+推广数据统计!AV101+推广数据统计!BA101+推广数据统计!BF101</f>
        <v>88.34</v>
      </c>
    </row>
    <row r="101" ht="14.5" spans="1:29">
      <c r="A101" s="285">
        <v>99</v>
      </c>
      <c r="B101" s="286">
        <v>45575</v>
      </c>
      <c r="D101" s="305" t="s">
        <v>75</v>
      </c>
      <c r="E101" s="306">
        <v>0</v>
      </c>
      <c r="F101" s="290">
        <f t="shared" si="21"/>
        <v>0</v>
      </c>
      <c r="G101" s="291" t="e">
        <f t="shared" si="19"/>
        <v>#VALUE!</v>
      </c>
      <c r="H101" s="291" t="e">
        <f t="shared" si="16"/>
        <v>#VALUE!</v>
      </c>
      <c r="I101" s="305"/>
      <c r="J101" s="292">
        <f>VLOOKUP(B101,推广数据统计!$A:$AB,23,FALSE)</f>
        <v>0</v>
      </c>
      <c r="K101" s="290" t="e">
        <f t="shared" si="20"/>
        <v>#VALUE!</v>
      </c>
      <c r="L101" s="293" t="e">
        <f t="shared" si="22"/>
        <v>#VALUE!</v>
      </c>
      <c r="M101" s="307"/>
      <c r="N101" s="307"/>
      <c r="O101" s="306"/>
      <c r="P101" s="307"/>
      <c r="Q101" s="307"/>
      <c r="R101" s="307"/>
      <c r="S101" s="309"/>
      <c r="T101" s="306"/>
      <c r="U101" s="307"/>
      <c r="Y101" s="297">
        <f>推广数据统计!AB102</f>
        <v>0</v>
      </c>
      <c r="AC101" s="292">
        <f>推广数据统计!B102+推广数据统计!AS102+推广数据统计!AV102+推广数据统计!BA102+推广数据统计!BF102</f>
        <v>0</v>
      </c>
    </row>
    <row r="102" ht="14.5" spans="1:29">
      <c r="A102" s="285">
        <v>100</v>
      </c>
      <c r="B102" s="286">
        <v>45576</v>
      </c>
      <c r="D102" s="305">
        <v>156606</v>
      </c>
      <c r="E102" s="306">
        <v>18</v>
      </c>
      <c r="F102" s="290">
        <f t="shared" si="21"/>
        <v>106810.12</v>
      </c>
      <c r="G102" s="291">
        <f t="shared" si="19"/>
        <v>1.46620938165784</v>
      </c>
      <c r="H102" s="291">
        <f t="shared" si="16"/>
        <v>1.36463061739843</v>
      </c>
      <c r="I102" s="305">
        <v>55900</v>
      </c>
      <c r="J102" s="292">
        <f>VLOOKUP(B102,推广数据统计!$A:$AB,23,FALSE)</f>
        <v>10849.64</v>
      </c>
      <c r="K102" s="290">
        <f t="shared" si="20"/>
        <v>145756.36</v>
      </c>
      <c r="L102" s="293">
        <f t="shared" si="22"/>
        <v>0.0692798487925111</v>
      </c>
      <c r="M102" s="307">
        <v>0.1154</v>
      </c>
      <c r="N102" s="307"/>
      <c r="O102" s="306" t="s">
        <v>76</v>
      </c>
      <c r="P102" s="307">
        <v>0.0366</v>
      </c>
      <c r="Q102" s="307">
        <v>0.748</v>
      </c>
      <c r="R102" s="307"/>
      <c r="S102" s="309">
        <v>2.8</v>
      </c>
      <c r="T102" s="306">
        <v>811</v>
      </c>
      <c r="U102" s="307" t="s">
        <v>77</v>
      </c>
      <c r="Y102" s="297">
        <f>推广数据统计!AB103</f>
        <v>437</v>
      </c>
      <c r="AC102" s="292">
        <f>推广数据统计!B103+推广数据统计!AS103+推广数据统计!AV103+推广数据统计!BA103+推广数据统计!BF103</f>
        <v>106810.12</v>
      </c>
    </row>
    <row r="103" ht="14.5" spans="1:29">
      <c r="A103" s="285">
        <v>101</v>
      </c>
      <c r="B103" s="286">
        <v>45577</v>
      </c>
      <c r="D103" s="305">
        <v>130407.16</v>
      </c>
      <c r="E103" s="306">
        <v>18</v>
      </c>
      <c r="F103" s="290">
        <f t="shared" si="21"/>
        <v>88663.55</v>
      </c>
      <c r="G103" s="291">
        <f t="shared" si="19"/>
        <v>1.47080914310334</v>
      </c>
      <c r="H103" s="291">
        <f t="shared" si="16"/>
        <v>1.34565184904056</v>
      </c>
      <c r="I103" s="305">
        <v>46300</v>
      </c>
      <c r="J103" s="292">
        <f>VLOOKUP(B103,推广数据统计!$A:$AB,23,FALSE)</f>
        <v>11096.89</v>
      </c>
      <c r="K103" s="290">
        <f t="shared" si="20"/>
        <v>119310.27</v>
      </c>
      <c r="L103" s="293">
        <f t="shared" si="22"/>
        <v>0.0850941773442501</v>
      </c>
      <c r="M103" s="307">
        <v>0.1079</v>
      </c>
      <c r="N103" s="306"/>
      <c r="O103" s="306">
        <v>103</v>
      </c>
      <c r="P103" s="307">
        <v>0.0358</v>
      </c>
      <c r="Q103" s="307">
        <v>0.6976</v>
      </c>
      <c r="R103" s="307">
        <v>0.9451</v>
      </c>
      <c r="S103" s="309">
        <v>2.82</v>
      </c>
      <c r="T103" s="306">
        <v>679</v>
      </c>
      <c r="U103" s="307">
        <v>0.0146</v>
      </c>
      <c r="Y103" s="297">
        <f>推广数据统计!AB104</f>
        <v>394</v>
      </c>
      <c r="AC103" s="292">
        <f>推广数据统计!B104+推广数据统计!AS104+推广数据统计!AV104+推广数据统计!BA104+推广数据统计!BF104</f>
        <v>88663.55</v>
      </c>
    </row>
    <row r="104" ht="14.5" spans="1:29">
      <c r="A104" s="285">
        <v>102</v>
      </c>
      <c r="B104" s="286">
        <v>45578</v>
      </c>
      <c r="D104" s="305">
        <v>125622.03</v>
      </c>
      <c r="E104" s="306">
        <v>18</v>
      </c>
      <c r="F104" s="290">
        <f t="shared" si="21"/>
        <v>82585.81</v>
      </c>
      <c r="G104" s="291">
        <f t="shared" si="19"/>
        <v>1.52110913485016</v>
      </c>
      <c r="H104" s="291">
        <f t="shared" si="16"/>
        <v>1.40765853116897</v>
      </c>
      <c r="I104" s="305">
        <v>46000</v>
      </c>
      <c r="J104" s="292">
        <f>VLOOKUP(B104,推广数据统计!$A:$AB,23,FALSE)</f>
        <v>9369.41</v>
      </c>
      <c r="K104" s="290">
        <f t="shared" si="20"/>
        <v>116252.62</v>
      </c>
      <c r="L104" s="293">
        <f t="shared" si="22"/>
        <v>0.0745841314616553</v>
      </c>
      <c r="M104" s="307">
        <v>0.0948</v>
      </c>
      <c r="N104" s="307"/>
      <c r="O104" s="306" t="s">
        <v>78</v>
      </c>
      <c r="P104" s="307">
        <v>0.0358</v>
      </c>
      <c r="Q104" s="307" t="s">
        <v>79</v>
      </c>
      <c r="R104" s="307" t="s">
        <v>80</v>
      </c>
      <c r="S104" s="309">
        <v>2.73</v>
      </c>
      <c r="T104" s="306">
        <v>673</v>
      </c>
      <c r="U104" s="307">
        <v>0.0146</v>
      </c>
      <c r="Y104" s="297">
        <f>推广数据统计!AB105</f>
        <v>335</v>
      </c>
      <c r="AC104" s="292">
        <f>推广数据统计!B105+推广数据统计!AS105+推广数据统计!AV105+推广数据统计!BA105+推广数据统计!BF105</f>
        <v>82585.81</v>
      </c>
    </row>
    <row r="105" ht="14.5" spans="1:29">
      <c r="A105" s="285">
        <v>103</v>
      </c>
      <c r="B105" s="286">
        <v>45579</v>
      </c>
      <c r="D105" s="305">
        <v>141128.54</v>
      </c>
      <c r="E105" s="306">
        <v>18</v>
      </c>
      <c r="F105" s="290">
        <f t="shared" si="21"/>
        <v>96572.19</v>
      </c>
      <c r="G105" s="291">
        <f t="shared" si="19"/>
        <v>1.46137868469173</v>
      </c>
      <c r="H105" s="291">
        <f t="shared" si="16"/>
        <v>1.36131809789133</v>
      </c>
      <c r="I105" s="305">
        <v>53400</v>
      </c>
      <c r="J105" s="292">
        <f>VLOOKUP(B105,推广数据统计!$A:$AB,23,FALSE)</f>
        <v>9663.07</v>
      </c>
      <c r="K105" s="290">
        <f t="shared" si="20"/>
        <v>131465.47</v>
      </c>
      <c r="L105" s="293">
        <f t="shared" si="22"/>
        <v>0.0684699919661891</v>
      </c>
      <c r="M105" s="307">
        <v>0.0462</v>
      </c>
      <c r="N105" s="306"/>
      <c r="O105" s="306">
        <v>96</v>
      </c>
      <c r="P105" s="307">
        <v>0.034</v>
      </c>
      <c r="Q105" s="307">
        <v>0.7062</v>
      </c>
      <c r="R105" s="307">
        <v>0.944</v>
      </c>
      <c r="S105" s="309">
        <v>2.64</v>
      </c>
      <c r="T105" s="306">
        <v>737</v>
      </c>
      <c r="U105" s="307">
        <v>0.0138</v>
      </c>
      <c r="Y105" s="297">
        <f>推广数据统计!AB106</f>
        <v>386</v>
      </c>
      <c r="AC105" s="292">
        <f>推广数据统计!B106+推广数据统计!AS106+推广数据统计!AV106+推广数据统计!BA106+推广数据统计!BF106</f>
        <v>96572.19</v>
      </c>
    </row>
    <row r="106" ht="14.5" spans="1:29">
      <c r="A106" s="285">
        <v>104</v>
      </c>
      <c r="B106" s="286">
        <v>45580</v>
      </c>
      <c r="D106" s="305">
        <v>165752.43</v>
      </c>
      <c r="E106" s="306">
        <v>18</v>
      </c>
      <c r="F106" s="290">
        <f t="shared" si="21"/>
        <v>117519.46</v>
      </c>
      <c r="G106" s="291">
        <f t="shared" si="19"/>
        <v>1.41042538827187</v>
      </c>
      <c r="H106" s="291">
        <f t="shared" si="16"/>
        <v>1.30090607972501</v>
      </c>
      <c r="I106" s="305">
        <v>55300</v>
      </c>
      <c r="J106" s="292">
        <f>VLOOKUP(B106,推广数据统计!$A:$AB,23,FALSE)</f>
        <v>12870.65</v>
      </c>
      <c r="K106" s="290">
        <f t="shared" si="20"/>
        <v>152881.78</v>
      </c>
      <c r="L106" s="293">
        <f t="shared" si="22"/>
        <v>0.0776498419962832</v>
      </c>
      <c r="M106" s="307">
        <v>0.0623</v>
      </c>
      <c r="N106" s="306"/>
      <c r="O106" s="306">
        <v>93</v>
      </c>
      <c r="P106" s="307">
        <v>0.0381</v>
      </c>
      <c r="Q106" s="307">
        <v>0.7464</v>
      </c>
      <c r="R106" s="307">
        <v>0.9541</v>
      </c>
      <c r="S106" s="309">
        <v>3</v>
      </c>
      <c r="T106" s="306">
        <v>721</v>
      </c>
      <c r="U106" s="307">
        <v>0.0131</v>
      </c>
      <c r="Y106" s="297">
        <f>推广数据统计!AB107</f>
        <v>416</v>
      </c>
      <c r="AC106" s="292">
        <f>推广数据统计!B107+推广数据统计!AS107+推广数据统计!AV107+推广数据统计!BA107+推广数据统计!BF107</f>
        <v>117519.46</v>
      </c>
    </row>
    <row r="107" ht="14.5" spans="1:29">
      <c r="A107" s="285">
        <v>105</v>
      </c>
      <c r="B107" s="286">
        <v>45581</v>
      </c>
      <c r="D107" s="305">
        <v>139191.79</v>
      </c>
      <c r="E107" s="306">
        <v>18</v>
      </c>
      <c r="F107" s="290">
        <f t="shared" si="21"/>
        <v>100970.08</v>
      </c>
      <c r="G107" s="291">
        <f t="shared" si="19"/>
        <v>1.3785449115223</v>
      </c>
      <c r="H107" s="291">
        <f t="shared" si="16"/>
        <v>1.28165927965988</v>
      </c>
      <c r="I107" s="305">
        <v>61800</v>
      </c>
      <c r="J107" s="292">
        <f>VLOOKUP(B107,推广数据统计!$A:$AB,23,FALSE)</f>
        <v>9782.55</v>
      </c>
      <c r="K107" s="290">
        <f t="shared" si="20"/>
        <v>129409.24</v>
      </c>
      <c r="L107" s="293">
        <f t="shared" si="22"/>
        <v>0.0702810848254771</v>
      </c>
      <c r="M107" s="307">
        <v>0.0522</v>
      </c>
      <c r="N107" s="306"/>
      <c r="O107" s="306">
        <v>97</v>
      </c>
      <c r="P107" s="307">
        <v>0.0288</v>
      </c>
      <c r="Q107" s="307">
        <v>0.6574</v>
      </c>
      <c r="R107" s="307">
        <v>0.953</v>
      </c>
      <c r="S107" s="309">
        <v>2.25</v>
      </c>
      <c r="T107" s="306">
        <v>1168</v>
      </c>
      <c r="U107" s="307">
        <v>0.0189</v>
      </c>
      <c r="Y107" s="297">
        <f>推广数据统计!AB108</f>
        <v>372</v>
      </c>
      <c r="AC107" s="292">
        <f>推广数据统计!B108+推广数据统计!AS108+推广数据统计!AV108+推广数据统计!BA108+推广数据统计!BF108</f>
        <v>100970.08</v>
      </c>
    </row>
    <row r="108" ht="14.5" spans="1:29">
      <c r="A108" s="285">
        <v>106</v>
      </c>
      <c r="B108" s="286">
        <v>45582</v>
      </c>
      <c r="C108" s="304" t="s">
        <v>56</v>
      </c>
      <c r="D108" s="305">
        <v>1495374</v>
      </c>
      <c r="E108" s="306">
        <v>18</v>
      </c>
      <c r="F108" s="290">
        <f t="shared" si="21"/>
        <v>1071632.95</v>
      </c>
      <c r="G108" s="291">
        <f t="shared" si="19"/>
        <v>1.3954162197047</v>
      </c>
      <c r="H108" s="291">
        <f t="shared" si="16"/>
        <v>1.26936028796054</v>
      </c>
      <c r="I108" s="305">
        <v>415000</v>
      </c>
      <c r="J108" s="292">
        <f>VLOOKUP(B108,推广数据统计!$A:$AB,23,FALSE)</f>
        <v>135085.69</v>
      </c>
      <c r="K108" s="290">
        <f t="shared" si="20"/>
        <v>1360288.31</v>
      </c>
      <c r="L108" s="293">
        <f t="shared" si="22"/>
        <v>0.0903357220334177</v>
      </c>
      <c r="M108" s="307">
        <v>0.0579</v>
      </c>
      <c r="N108" s="306"/>
      <c r="O108" s="306" t="s">
        <v>81</v>
      </c>
      <c r="P108" s="307">
        <v>0.0317</v>
      </c>
      <c r="Q108" s="307">
        <v>0.7961</v>
      </c>
      <c r="R108" s="307">
        <v>0.965</v>
      </c>
      <c r="S108" s="309">
        <v>3.6</v>
      </c>
      <c r="T108" s="306">
        <v>9134</v>
      </c>
      <c r="U108" s="307">
        <v>0.015</v>
      </c>
      <c r="Y108" s="297">
        <f>推广数据统计!AB109</f>
        <v>5502</v>
      </c>
      <c r="AC108" s="292">
        <f>推广数据统计!B109+推广数据统计!AS109+推广数据统计!AV109+推广数据统计!BA109+推广数据统计!BF109</f>
        <v>1071632.95</v>
      </c>
    </row>
    <row r="109" ht="14.5" spans="1:29">
      <c r="A109" s="285">
        <v>107</v>
      </c>
      <c r="B109" s="286">
        <v>45583</v>
      </c>
      <c r="D109" s="305">
        <v>278921</v>
      </c>
      <c r="E109" s="306">
        <v>18</v>
      </c>
      <c r="F109" s="290">
        <f t="shared" si="21"/>
        <v>254282.02</v>
      </c>
      <c r="G109" s="291">
        <f t="shared" si="19"/>
        <v>1.0968962728863</v>
      </c>
      <c r="H109" s="291">
        <f t="shared" si="16"/>
        <v>1.00883031368085</v>
      </c>
      <c r="I109" s="305">
        <v>107400</v>
      </c>
      <c r="J109" s="292">
        <f>VLOOKUP(B109,推广数据统计!$A:$AB,23,FALSE)</f>
        <v>22393.59</v>
      </c>
      <c r="K109" s="290">
        <f t="shared" si="20"/>
        <v>256527.41</v>
      </c>
      <c r="L109" s="293">
        <f t="shared" si="22"/>
        <v>0.0802864968933856</v>
      </c>
      <c r="M109" s="307">
        <v>0.0997</v>
      </c>
      <c r="N109" s="306"/>
      <c r="O109" s="306" t="s">
        <v>82</v>
      </c>
      <c r="P109" s="307">
        <v>0.0334</v>
      </c>
      <c r="Q109" s="307">
        <v>0.8094</v>
      </c>
      <c r="R109" s="307">
        <v>0.9536</v>
      </c>
      <c r="S109" s="309">
        <v>2.6</v>
      </c>
      <c r="T109" s="306">
        <v>1420</v>
      </c>
      <c r="U109" s="307">
        <v>0.0133</v>
      </c>
      <c r="Y109" s="297">
        <f>推广数据统计!AB110</f>
        <v>1025</v>
      </c>
      <c r="AC109" s="292">
        <f>推广数据统计!B110+推广数据统计!AS110+推广数据统计!AV110+推广数据统计!BA110+推广数据统计!BF110</f>
        <v>254282.02</v>
      </c>
    </row>
    <row r="110" ht="14.5" spans="1:29">
      <c r="A110" s="285">
        <v>108</v>
      </c>
      <c r="B110" s="286">
        <v>45584</v>
      </c>
      <c r="D110" s="305">
        <v>301569.53</v>
      </c>
      <c r="E110" s="306">
        <v>18</v>
      </c>
      <c r="F110" s="290">
        <f t="shared" si="21"/>
        <v>223893.38</v>
      </c>
      <c r="G110" s="291">
        <f t="shared" si="19"/>
        <v>1.34693366101311</v>
      </c>
      <c r="H110" s="291">
        <f t="shared" si="16"/>
        <v>1.25720559491308</v>
      </c>
      <c r="I110" s="305">
        <v>101500</v>
      </c>
      <c r="J110" s="292">
        <f>VLOOKUP(B110,推广数据统计!$A:$AB,23,FALSE)</f>
        <v>20089.52</v>
      </c>
      <c r="K110" s="290">
        <f t="shared" si="20"/>
        <v>281480.01</v>
      </c>
      <c r="L110" s="293">
        <f t="shared" si="22"/>
        <v>0.0666165444499648</v>
      </c>
      <c r="M110" s="307">
        <v>0.0905</v>
      </c>
      <c r="N110" s="306"/>
      <c r="O110" s="306">
        <v>97</v>
      </c>
      <c r="P110" s="307">
        <v>0.0315</v>
      </c>
      <c r="Q110" s="313">
        <v>0.838</v>
      </c>
      <c r="R110" s="311">
        <v>0.96</v>
      </c>
      <c r="S110" s="309">
        <v>2.97</v>
      </c>
      <c r="T110" s="306">
        <v>1229</v>
      </c>
      <c r="U110" s="307">
        <v>0.0121</v>
      </c>
      <c r="Y110" s="297">
        <f>推广数据统计!AB111</f>
        <v>791</v>
      </c>
      <c r="AC110" s="292">
        <f>推广数据统计!B111+推广数据统计!AS111+推广数据统计!AV111+推广数据统计!BA111+推广数据统计!BF111</f>
        <v>223893.38</v>
      </c>
    </row>
    <row r="111" ht="14.5" spans="1:29">
      <c r="A111" s="285">
        <v>109</v>
      </c>
      <c r="B111" s="286">
        <v>45585</v>
      </c>
      <c r="D111" s="305">
        <v>207863</v>
      </c>
      <c r="E111" s="306">
        <v>18</v>
      </c>
      <c r="F111" s="290">
        <f t="shared" si="21"/>
        <v>149821.55</v>
      </c>
      <c r="G111" s="291">
        <f t="shared" si="19"/>
        <v>1.38740388148434</v>
      </c>
      <c r="H111" s="291">
        <f t="shared" si="16"/>
        <v>1.28978027526748</v>
      </c>
      <c r="I111" s="305">
        <v>59922</v>
      </c>
      <c r="J111" s="292">
        <f>VLOOKUP(B111,推广数据统计!$A:$AB,23,FALSE)</f>
        <v>14626.12</v>
      </c>
      <c r="K111" s="290">
        <f t="shared" si="20"/>
        <v>193236.88</v>
      </c>
      <c r="L111" s="293">
        <f t="shared" si="22"/>
        <v>0.0703642302862943</v>
      </c>
      <c r="M111" s="307">
        <v>0.1006</v>
      </c>
      <c r="N111" s="306"/>
      <c r="O111" s="306">
        <v>98</v>
      </c>
      <c r="P111" s="307">
        <v>0.0381</v>
      </c>
      <c r="Q111" s="307">
        <v>0.8679</v>
      </c>
      <c r="R111" s="313">
        <v>0.964</v>
      </c>
      <c r="S111" s="309">
        <v>3.47</v>
      </c>
      <c r="T111" s="306">
        <v>979</v>
      </c>
      <c r="U111" s="307">
        <v>0.0163</v>
      </c>
      <c r="Y111" s="297">
        <f>推广数据统计!AB112</f>
        <v>562</v>
      </c>
      <c r="AC111" s="292">
        <f>推广数据统计!B112+推广数据统计!AS112+推广数据统计!AV112+推广数据统计!BA112+推广数据统计!BF112</f>
        <v>149821.55</v>
      </c>
    </row>
    <row r="112" ht="14.5" spans="1:29">
      <c r="A112" s="285">
        <v>110</v>
      </c>
      <c r="B112" s="286">
        <v>45586</v>
      </c>
      <c r="D112" s="305">
        <v>227575</v>
      </c>
      <c r="E112" s="306">
        <v>18</v>
      </c>
      <c r="F112" s="290">
        <f t="shared" si="21"/>
        <v>169488.57</v>
      </c>
      <c r="G112" s="291">
        <f t="shared" si="19"/>
        <v>1.34271591293737</v>
      </c>
      <c r="H112" s="291">
        <f t="shared" si="16"/>
        <v>1.24669846468113</v>
      </c>
      <c r="I112" s="305">
        <v>82200</v>
      </c>
      <c r="J112" s="292">
        <f>VLOOKUP(B112,推广数据统计!$A:$AB,23,FALSE)</f>
        <v>16273.86</v>
      </c>
      <c r="K112" s="290">
        <f t="shared" ref="K112:K119" si="23">D112-J112</f>
        <v>211301.14</v>
      </c>
      <c r="L112" s="293">
        <f t="shared" si="22"/>
        <v>0.0715098758650994</v>
      </c>
      <c r="M112" s="307">
        <v>0.0904</v>
      </c>
      <c r="N112" s="306"/>
      <c r="O112" s="306">
        <v>96</v>
      </c>
      <c r="P112" s="307">
        <v>0.0354</v>
      </c>
      <c r="Q112" s="307">
        <v>0.8132</v>
      </c>
      <c r="R112" s="307">
        <v>0.9423</v>
      </c>
      <c r="S112" s="309">
        <v>2.77</v>
      </c>
      <c r="T112" s="306">
        <v>953</v>
      </c>
      <c r="U112" s="307">
        <v>0.0116</v>
      </c>
      <c r="Y112" s="297">
        <f>推广数据统计!AB113</f>
        <v>530</v>
      </c>
      <c r="AC112" s="292">
        <f>推广数据统计!B113+推广数据统计!AS113+推广数据统计!AV113+推广数据统计!BA113+推广数据统计!BF113</f>
        <v>169488.57</v>
      </c>
    </row>
    <row r="113" ht="14.5" spans="1:29">
      <c r="A113" s="285">
        <v>111</v>
      </c>
      <c r="B113" s="286">
        <v>45587</v>
      </c>
      <c r="D113" s="305">
        <v>144399.05</v>
      </c>
      <c r="E113" s="306">
        <v>18</v>
      </c>
      <c r="F113" s="290">
        <f t="shared" si="21"/>
        <v>101051.16</v>
      </c>
      <c r="G113" s="291">
        <f t="shared" si="19"/>
        <v>1.42896974166353</v>
      </c>
      <c r="H113" s="291">
        <f t="shared" si="16"/>
        <v>1.31710778975719</v>
      </c>
      <c r="I113" s="305">
        <v>53900</v>
      </c>
      <c r="J113" s="292">
        <f>VLOOKUP(B113,推广数据统计!$A:$AB,23,FALSE)</f>
        <v>11303.78</v>
      </c>
      <c r="K113" s="290">
        <f t="shared" si="23"/>
        <v>133095.27</v>
      </c>
      <c r="L113" s="293">
        <f t="shared" si="22"/>
        <v>0.0782815399408791</v>
      </c>
      <c r="M113" s="307">
        <v>0.0973</v>
      </c>
      <c r="N113" s="307">
        <v>0.1074</v>
      </c>
      <c r="O113" s="306">
        <v>98</v>
      </c>
      <c r="P113" s="307">
        <v>0.0338</v>
      </c>
      <c r="Q113" s="307">
        <v>0.7102</v>
      </c>
      <c r="R113" s="311">
        <v>0.93</v>
      </c>
      <c r="S113" s="309">
        <v>2.68</v>
      </c>
      <c r="T113" s="306">
        <v>813</v>
      </c>
      <c r="U113" s="307">
        <v>0.0151</v>
      </c>
      <c r="Y113" s="297">
        <f>推广数据统计!AB114</f>
        <v>436</v>
      </c>
      <c r="AC113" s="292">
        <f>推广数据统计!B114+推广数据统计!AS114+推广数据统计!AV114+推广数据统计!BA114+推广数据统计!BF114</f>
        <v>101051.16</v>
      </c>
    </row>
    <row r="114" ht="14.5" spans="1:29">
      <c r="A114" s="285">
        <v>112</v>
      </c>
      <c r="B114" s="286">
        <v>45588</v>
      </c>
      <c r="D114" s="305">
        <v>119622.25</v>
      </c>
      <c r="E114" s="306">
        <v>18</v>
      </c>
      <c r="F114" s="290">
        <f t="shared" si="21"/>
        <v>80995.07</v>
      </c>
      <c r="G114" s="291">
        <f t="shared" si="19"/>
        <v>1.47690779204216</v>
      </c>
      <c r="H114" s="291">
        <f t="shared" si="16"/>
        <v>1.38308874848802</v>
      </c>
      <c r="I114" s="305">
        <v>44800</v>
      </c>
      <c r="J114" s="292">
        <f>VLOOKUP(B114,推广数据统计!$A:$AB,23,FALSE)</f>
        <v>7598.88</v>
      </c>
      <c r="K114" s="290">
        <f t="shared" si="23"/>
        <v>112023.37</v>
      </c>
      <c r="L114" s="293">
        <f t="shared" si="22"/>
        <v>0.0635239681580977</v>
      </c>
      <c r="M114" s="307">
        <v>0.0944</v>
      </c>
      <c r="N114" s="307">
        <v>0.105</v>
      </c>
      <c r="O114" s="306">
        <v>104</v>
      </c>
      <c r="P114" s="307">
        <v>0.0338</v>
      </c>
      <c r="Q114" s="307">
        <v>0.67</v>
      </c>
      <c r="R114" s="307">
        <v>0.9159</v>
      </c>
      <c r="S114" s="309">
        <v>2.67</v>
      </c>
      <c r="T114" s="306">
        <v>650</v>
      </c>
      <c r="U114" s="307">
        <v>0.0145</v>
      </c>
      <c r="Y114" s="297">
        <f>推广数据统计!AB115</f>
        <v>315</v>
      </c>
      <c r="AC114" s="292">
        <f>推广数据统计!B115+推广数据统计!AS115+推广数据统计!AV115+推广数据统计!BA115+推广数据统计!BF115</f>
        <v>80995.07</v>
      </c>
    </row>
    <row r="115" ht="14.5" spans="1:29">
      <c r="A115" s="285">
        <v>113</v>
      </c>
      <c r="B115" s="286">
        <v>45589</v>
      </c>
      <c r="D115" s="305">
        <v>56747.85</v>
      </c>
      <c r="E115" s="306">
        <v>18</v>
      </c>
      <c r="F115" s="290">
        <f t="shared" si="21"/>
        <v>43089.67</v>
      </c>
      <c r="G115" s="291">
        <f t="shared" si="19"/>
        <v>1.31697109771321</v>
      </c>
      <c r="H115" s="291">
        <f t="shared" si="16"/>
        <v>1.20171980894725</v>
      </c>
      <c r="I115" s="305">
        <v>35500</v>
      </c>
      <c r="J115" s="292">
        <f>VLOOKUP(B115,推广数据统计!$A:$AB,23,FALSE)</f>
        <v>4966.14</v>
      </c>
      <c r="K115" s="290">
        <f t="shared" si="23"/>
        <v>51781.71</v>
      </c>
      <c r="L115" s="293">
        <f t="shared" si="22"/>
        <v>0.0875123903372551</v>
      </c>
      <c r="M115" s="307">
        <v>0.1239</v>
      </c>
      <c r="N115" s="307">
        <v>0.1557</v>
      </c>
      <c r="O115" s="306">
        <v>128</v>
      </c>
      <c r="P115" s="307">
        <v>0.019</v>
      </c>
      <c r="Q115" s="307">
        <v>0.5023</v>
      </c>
      <c r="R115" s="307">
        <v>0.7623</v>
      </c>
      <c r="S115" s="309">
        <v>1.6</v>
      </c>
      <c r="T115" s="306">
        <v>836</v>
      </c>
      <c r="U115" s="307">
        <v>0.0235</v>
      </c>
      <c r="Y115" s="297">
        <f>推广数据统计!AB116</f>
        <v>200</v>
      </c>
      <c r="AC115" s="292">
        <f>推广数据统计!B116+推广数据统计!AS116+推广数据统计!AV116+推广数据统计!BA116+推广数据统计!BF116</f>
        <v>43089.67</v>
      </c>
    </row>
    <row r="116" ht="14.5" spans="1:29">
      <c r="A116" s="285">
        <v>114</v>
      </c>
      <c r="B116" s="286">
        <v>45590</v>
      </c>
      <c r="F116" s="290">
        <f t="shared" si="21"/>
        <v>23628.24</v>
      </c>
      <c r="G116" s="291">
        <f t="shared" si="19"/>
        <v>0</v>
      </c>
      <c r="H116" s="291">
        <f t="shared" si="16"/>
        <v>-0.108715672432648</v>
      </c>
      <c r="J116" s="292">
        <f>VLOOKUP(B116,推广数据统计!$A:$AB,23,FALSE)</f>
        <v>2568.76</v>
      </c>
      <c r="K116" s="290">
        <f t="shared" si="23"/>
        <v>-2568.76</v>
      </c>
      <c r="L116" s="293" t="e">
        <f t="shared" si="22"/>
        <v>#DIV/0!</v>
      </c>
      <c r="Y116" s="297">
        <f>推广数据统计!AB117</f>
        <v>130</v>
      </c>
      <c r="AC116" s="292">
        <f>推广数据统计!B117+推广数据统计!AS117+推广数据统计!AV117+推广数据统计!BA117+推广数据统计!BF117</f>
        <v>23628.24</v>
      </c>
    </row>
    <row r="117" ht="14.5" spans="1:29">
      <c r="A117" s="285">
        <v>115</v>
      </c>
      <c r="B117" s="286">
        <v>45591</v>
      </c>
      <c r="D117" s="305">
        <v>18896.44</v>
      </c>
      <c r="E117" s="306">
        <v>18</v>
      </c>
      <c r="F117" s="290">
        <f t="shared" si="21"/>
        <v>13823.87</v>
      </c>
      <c r="G117" s="291">
        <f t="shared" si="19"/>
        <v>1.36694283149364</v>
      </c>
      <c r="H117" s="291">
        <f t="shared" si="16"/>
        <v>1.24574088153317</v>
      </c>
      <c r="I117" s="305">
        <v>19500</v>
      </c>
      <c r="J117" s="292">
        <f>VLOOKUP(B117,推广数据统计!$A:$AB,23,FALSE)</f>
        <v>1675.48</v>
      </c>
      <c r="K117" s="290">
        <f t="shared" si="23"/>
        <v>17220.96</v>
      </c>
      <c r="L117" s="293">
        <f t="shared" si="22"/>
        <v>0.0886664366409758</v>
      </c>
      <c r="M117" s="307">
        <v>0.1392</v>
      </c>
      <c r="N117" s="306"/>
      <c r="O117" s="306">
        <v>132</v>
      </c>
      <c r="P117" s="307">
        <v>0.0786</v>
      </c>
      <c r="Q117" s="307">
        <v>0.2992</v>
      </c>
      <c r="R117" s="307">
        <v>0.7697</v>
      </c>
      <c r="S117" s="309">
        <v>0.97</v>
      </c>
      <c r="T117" s="306">
        <v>306</v>
      </c>
      <c r="U117" s="307">
        <v>0.0157</v>
      </c>
      <c r="Y117" s="297">
        <f>推广数据统计!AB118</f>
        <v>102</v>
      </c>
      <c r="AC117" s="292">
        <f>推广数据统计!B118+推广数据统计!AS118+推广数据统计!AV118+推广数据统计!BA118+推广数据统计!BF118</f>
        <v>13823.87</v>
      </c>
    </row>
    <row r="118" ht="14.5" spans="1:29">
      <c r="A118" s="285">
        <v>116</v>
      </c>
      <c r="B118" s="286">
        <v>45592</v>
      </c>
      <c r="D118" s="305">
        <v>32830.45</v>
      </c>
      <c r="E118" s="306">
        <v>18</v>
      </c>
      <c r="F118" s="290">
        <f t="shared" si="21"/>
        <v>23526.74</v>
      </c>
      <c r="G118" s="291">
        <f t="shared" si="19"/>
        <v>1.3954525786403</v>
      </c>
      <c r="H118" s="291">
        <f t="shared" si="16"/>
        <v>1.25083075683244</v>
      </c>
      <c r="I118" s="305">
        <v>25000</v>
      </c>
      <c r="J118" s="292">
        <f>VLOOKUP(B118,推广数据统计!$A:$AB,23,FALSE)</f>
        <v>3402.48</v>
      </c>
      <c r="K118" s="290">
        <f t="shared" si="23"/>
        <v>29427.97</v>
      </c>
      <c r="L118" s="293">
        <f t="shared" si="22"/>
        <v>0.103637933686562</v>
      </c>
      <c r="M118" s="307">
        <v>0.134</v>
      </c>
      <c r="N118" s="307">
        <v>0.1107</v>
      </c>
      <c r="O118" s="306">
        <v>113</v>
      </c>
      <c r="P118" s="307">
        <v>0.0183</v>
      </c>
      <c r="Q118" s="307">
        <v>0.4189</v>
      </c>
      <c r="R118" s="307"/>
      <c r="S118" s="309">
        <v>1.31</v>
      </c>
      <c r="T118" s="306">
        <v>339</v>
      </c>
      <c r="U118" s="307">
        <v>0.0136</v>
      </c>
      <c r="Y118" s="297">
        <f>VLOOKUP(B118,推广数据统计!$A:$AB,28,FALSE)</f>
        <v>123</v>
      </c>
      <c r="AC118" s="292">
        <f>推广数据统计!B119+推广数据统计!AS119+推广数据统计!AV119+推广数据统计!BA119+推广数据统计!BF119</f>
        <v>23526.74</v>
      </c>
    </row>
    <row r="119" ht="14.5" spans="1:29">
      <c r="A119" s="285">
        <v>117</v>
      </c>
      <c r="B119" s="286">
        <v>45593</v>
      </c>
      <c r="H119" s="291" t="e">
        <f t="shared" si="16"/>
        <v>#DIV/0!</v>
      </c>
      <c r="J119" s="292">
        <f>VLOOKUP(B119,推广数据统计!$A:$AB,23,FALSE)</f>
        <v>4790.01</v>
      </c>
      <c r="K119" s="290">
        <f t="shared" si="23"/>
        <v>-4790.01</v>
      </c>
      <c r="L119" s="293" t="e">
        <f t="shared" si="22"/>
        <v>#DIV/0!</v>
      </c>
      <c r="Y119" s="297">
        <f>VLOOKUP(B119,推广数据统计!$A:$AB,28,FALSE)</f>
        <v>239</v>
      </c>
      <c r="AC119" s="292">
        <f>推广数据统计!B120+推广数据统计!AS120+推广数据统计!AV120+推广数据统计!BA120+推广数据统计!BF120</f>
        <v>49778.92</v>
      </c>
    </row>
  </sheetData>
  <mergeCells count="15">
    <mergeCell ref="M1:U1"/>
    <mergeCell ref="V1:AB1"/>
    <mergeCell ref="AC1:AE1"/>
    <mergeCell ref="A1:A2"/>
    <mergeCell ref="B1:B2"/>
    <mergeCell ref="C1:C2"/>
    <mergeCell ref="D1:D2"/>
    <mergeCell ref="E1:E2"/>
    <mergeCell ref="F1:F2"/>
    <mergeCell ref="G1:G2"/>
    <mergeCell ref="H1:H2"/>
    <mergeCell ref="I1:I2"/>
    <mergeCell ref="J1:J2"/>
    <mergeCell ref="K1:K2"/>
    <mergeCell ref="L1:L2"/>
  </mergeCells>
  <pageMargins left="0.75" right="0.75" top="1" bottom="1" header="0.511805555555556" footer="0.511805555555556"/>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142"/>
  <sheetViews>
    <sheetView workbookViewId="0">
      <pane xSplit="1" ySplit="3" topLeftCell="R4" activePane="bottomRight" state="frozen"/>
      <selection/>
      <selection pane="topRight"/>
      <selection pane="bottomLeft"/>
      <selection pane="bottomRight" activeCell="AF130" sqref="AF130"/>
    </sheetView>
  </sheetViews>
  <sheetFormatPr defaultColWidth="8.72727272727273" defaultRowHeight="14"/>
  <cols>
    <col min="1" max="1" width="9.54545454545454" style="137"/>
    <col min="2" max="2" width="10.8181818181818" style="204" customWidth="1"/>
    <col min="3" max="3" width="9.09090909090909" style="204"/>
    <col min="4" max="4" width="8.72727272727273" style="205"/>
    <col min="5" max="5" width="8.72727272727273" style="204"/>
    <col min="6" max="6" width="12.8181818181818" style="137"/>
    <col min="7" max="8" width="8.72727272727273" style="137"/>
    <col min="9" max="9" width="10.6363636363636" style="204"/>
    <col min="10" max="10" width="8.72727272727273" style="205"/>
    <col min="11" max="12" width="10.6363636363636" style="204"/>
    <col min="13" max="18" width="8.72727272727273" style="205"/>
    <col min="19" max="19" width="8.72727272727273" style="206"/>
    <col min="20" max="20" width="8.72727272727273" style="205"/>
    <col min="21" max="21" width="9.54545454545454" style="205"/>
    <col min="22" max="22" width="8.72727272727273" style="205"/>
    <col min="23" max="23" width="11.9090909090909" style="205" customWidth="1"/>
    <col min="24" max="28" width="8.72727272727273" style="205"/>
    <col min="29" max="30" width="8.81818181818182" style="137" customWidth="1"/>
    <col min="31" max="31" width="8.72727272727273" style="137" customWidth="1"/>
    <col min="32" max="32" width="11.9090909090909" style="207" customWidth="1"/>
    <col min="33" max="33" width="8.72727272727273" style="137" customWidth="1"/>
    <col min="34" max="34" width="7.09090909090909" style="137" customWidth="1"/>
    <col min="35" max="36" width="8.72727272727273" style="208" customWidth="1"/>
    <col min="37" max="37" width="8.72727272727273" style="137" customWidth="1"/>
    <col min="38" max="60" width="8.72727272727273" style="137" hidden="1" customWidth="1"/>
    <col min="61" max="16384" width="8.72727272727273" style="137" customWidth="1"/>
  </cols>
  <sheetData>
    <row r="1" ht="15.25" spans="1:60">
      <c r="A1" s="209" t="s">
        <v>83</v>
      </c>
      <c r="B1" s="210"/>
      <c r="C1" s="210"/>
      <c r="D1" s="211"/>
      <c r="E1" s="210"/>
      <c r="F1" s="211"/>
      <c r="G1" s="211"/>
      <c r="H1" s="211"/>
      <c r="I1" s="210"/>
      <c r="J1" s="211"/>
      <c r="K1" s="210"/>
      <c r="L1" s="210"/>
      <c r="M1" s="211"/>
      <c r="N1" s="211"/>
      <c r="O1" s="211"/>
      <c r="P1" s="211"/>
      <c r="Q1" s="211"/>
      <c r="R1" s="211"/>
      <c r="S1" s="210"/>
      <c r="T1" s="211"/>
      <c r="U1" s="211"/>
      <c r="V1" s="211"/>
      <c r="W1" s="211"/>
      <c r="X1" s="211"/>
      <c r="Y1" s="211"/>
      <c r="Z1" s="211"/>
      <c r="AA1" s="211"/>
      <c r="AB1" s="211"/>
      <c r="AC1" s="211"/>
      <c r="AD1" s="211"/>
      <c r="AE1" s="211"/>
      <c r="AF1" s="212"/>
      <c r="AG1" s="211"/>
      <c r="AH1" s="211"/>
      <c r="AI1" s="213"/>
      <c r="AJ1" s="213"/>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row>
    <row r="2" s="201" customFormat="1" ht="14.5" spans="1:60">
      <c r="A2" s="214" t="s">
        <v>22</v>
      </c>
      <c r="B2" s="215" t="s">
        <v>84</v>
      </c>
      <c r="C2" s="216"/>
      <c r="D2" s="217"/>
      <c r="E2" s="216"/>
      <c r="F2" s="217"/>
      <c r="G2" s="217"/>
      <c r="H2" s="217"/>
      <c r="I2" s="216"/>
      <c r="J2" s="217"/>
      <c r="K2" s="216"/>
      <c r="L2" s="216"/>
      <c r="M2" s="217"/>
      <c r="N2" s="217"/>
      <c r="O2" s="217"/>
      <c r="P2" s="217"/>
      <c r="Q2" s="217"/>
      <c r="R2" s="217"/>
      <c r="S2" s="216"/>
      <c r="T2" s="217"/>
      <c r="U2" s="217"/>
      <c r="V2" s="217"/>
      <c r="W2" s="217"/>
      <c r="X2" s="217"/>
      <c r="Y2" s="217"/>
      <c r="Z2" s="217"/>
      <c r="AA2" s="217"/>
      <c r="AB2" s="217"/>
      <c r="AC2" s="217"/>
      <c r="AD2" s="217"/>
      <c r="AE2" s="217"/>
      <c r="AF2" s="218"/>
      <c r="AG2" s="217"/>
      <c r="AH2" s="217"/>
      <c r="AI2" s="219"/>
      <c r="AJ2" s="219"/>
      <c r="AK2" s="217"/>
      <c r="AL2" s="217"/>
      <c r="AM2" s="217"/>
      <c r="AN2" s="217"/>
      <c r="AO2" s="217"/>
      <c r="AP2" s="217"/>
      <c r="AQ2" s="217"/>
      <c r="AR2" s="217"/>
      <c r="AS2" s="220" t="s">
        <v>85</v>
      </c>
      <c r="AT2" s="221"/>
      <c r="AU2" s="222"/>
      <c r="AV2" s="220" t="s">
        <v>86</v>
      </c>
      <c r="AW2" s="221"/>
      <c r="AX2" s="223"/>
      <c r="AY2" s="221"/>
      <c r="AZ2" s="222"/>
      <c r="BA2" s="220" t="s">
        <v>87</v>
      </c>
      <c r="BB2" s="221"/>
      <c r="BC2" s="223"/>
      <c r="BD2" s="221"/>
      <c r="BE2" s="224"/>
      <c r="BF2" s="220" t="s">
        <v>88</v>
      </c>
      <c r="BG2" s="221"/>
      <c r="BH2" s="222"/>
    </row>
    <row r="3" s="202" customFormat="1" ht="44.25" spans="1:60">
      <c r="A3" s="225"/>
      <c r="B3" s="226" t="s">
        <v>89</v>
      </c>
      <c r="C3" s="227" t="s">
        <v>90</v>
      </c>
      <c r="D3" s="228" t="s">
        <v>5</v>
      </c>
      <c r="E3" s="227" t="s">
        <v>91</v>
      </c>
      <c r="F3" s="228" t="s">
        <v>92</v>
      </c>
      <c r="G3" s="228" t="s">
        <v>93</v>
      </c>
      <c r="H3" s="228" t="s">
        <v>94</v>
      </c>
      <c r="I3" s="227" t="s">
        <v>95</v>
      </c>
      <c r="J3" s="228" t="s">
        <v>96</v>
      </c>
      <c r="K3" s="227" t="s">
        <v>97</v>
      </c>
      <c r="L3" s="227" t="s">
        <v>98</v>
      </c>
      <c r="M3" s="228" t="s">
        <v>99</v>
      </c>
      <c r="N3" s="228" t="s">
        <v>9</v>
      </c>
      <c r="O3" s="228" t="s">
        <v>100</v>
      </c>
      <c r="P3" s="228" t="s">
        <v>11</v>
      </c>
      <c r="Q3" s="228" t="s">
        <v>101</v>
      </c>
      <c r="R3" s="228" t="s">
        <v>102</v>
      </c>
      <c r="S3" s="227" t="s">
        <v>103</v>
      </c>
      <c r="T3" s="228" t="s">
        <v>104</v>
      </c>
      <c r="U3" s="228" t="s">
        <v>105</v>
      </c>
      <c r="V3" s="228" t="s">
        <v>106</v>
      </c>
      <c r="W3" s="228" t="s">
        <v>107</v>
      </c>
      <c r="X3" s="228" t="s">
        <v>108</v>
      </c>
      <c r="Y3" s="228" t="s">
        <v>109</v>
      </c>
      <c r="Z3" s="228" t="s">
        <v>110</v>
      </c>
      <c r="AA3" s="228" t="s">
        <v>111</v>
      </c>
      <c r="AB3" s="228" t="s">
        <v>112</v>
      </c>
      <c r="AC3" s="229" t="s">
        <v>113</v>
      </c>
      <c r="AD3" s="229" t="s">
        <v>25</v>
      </c>
      <c r="AE3" s="229" t="s">
        <v>114</v>
      </c>
      <c r="AF3" s="229" t="s">
        <v>115</v>
      </c>
      <c r="AG3" s="229" t="s">
        <v>116</v>
      </c>
      <c r="AH3" s="229" t="s">
        <v>42</v>
      </c>
      <c r="AI3" s="230" t="s">
        <v>17</v>
      </c>
      <c r="AJ3" s="230" t="s">
        <v>117</v>
      </c>
      <c r="AK3" s="229" t="s">
        <v>118</v>
      </c>
      <c r="AL3" s="229" t="s">
        <v>119</v>
      </c>
      <c r="AM3" s="229" t="s">
        <v>120</v>
      </c>
      <c r="AN3" s="229" t="s">
        <v>121</v>
      </c>
      <c r="AO3" s="229" t="s">
        <v>122</v>
      </c>
      <c r="AP3" s="229" t="s">
        <v>123</v>
      </c>
      <c r="AQ3" s="229" t="s">
        <v>124</v>
      </c>
      <c r="AR3" s="229" t="s">
        <v>125</v>
      </c>
      <c r="AS3" s="231" t="s">
        <v>126</v>
      </c>
      <c r="AT3" s="228" t="s">
        <v>112</v>
      </c>
      <c r="AU3" s="232" t="s">
        <v>113</v>
      </c>
      <c r="AV3" s="231" t="s">
        <v>126</v>
      </c>
      <c r="AW3" s="228" t="s">
        <v>112</v>
      </c>
      <c r="AX3" s="233" t="s">
        <v>113</v>
      </c>
      <c r="AY3" s="228" t="s">
        <v>127</v>
      </c>
      <c r="AZ3" s="234" t="s">
        <v>128</v>
      </c>
      <c r="BA3" s="231" t="s">
        <v>126</v>
      </c>
      <c r="BB3" s="228" t="s">
        <v>112</v>
      </c>
      <c r="BC3" s="233" t="s">
        <v>113</v>
      </c>
      <c r="BD3" s="228" t="s">
        <v>127</v>
      </c>
      <c r="BE3" s="235" t="s">
        <v>128</v>
      </c>
      <c r="BF3" s="231" t="s">
        <v>126</v>
      </c>
      <c r="BG3" s="228" t="s">
        <v>112</v>
      </c>
      <c r="BH3" s="232" t="s">
        <v>113</v>
      </c>
    </row>
    <row r="4" ht="14.5" spans="1:60">
      <c r="A4" s="236">
        <v>45477</v>
      </c>
      <c r="B4" s="237">
        <v>1179.27</v>
      </c>
      <c r="C4" s="237">
        <v>13832</v>
      </c>
      <c r="D4" s="238">
        <v>0.0366</v>
      </c>
      <c r="E4" s="237">
        <v>506</v>
      </c>
      <c r="F4" s="239">
        <v>85.26</v>
      </c>
      <c r="G4" s="240">
        <v>1.22</v>
      </c>
      <c r="H4" s="240">
        <v>18</v>
      </c>
      <c r="I4" s="237">
        <v>937.2</v>
      </c>
      <c r="J4" s="240">
        <v>18</v>
      </c>
      <c r="K4" s="237">
        <v>937.2</v>
      </c>
      <c r="L4" s="237">
        <v>501</v>
      </c>
      <c r="M4" s="240">
        <v>1.22</v>
      </c>
      <c r="N4" s="239">
        <v>2.33</v>
      </c>
      <c r="O4" s="240">
        <v>18</v>
      </c>
      <c r="P4" s="238">
        <v>0.0356</v>
      </c>
      <c r="Q4" s="240">
        <v>65.52</v>
      </c>
      <c r="R4" s="239">
        <v>52.07</v>
      </c>
      <c r="S4" s="237">
        <v>493</v>
      </c>
      <c r="T4" s="240">
        <v>0</v>
      </c>
      <c r="U4" s="241">
        <v>0</v>
      </c>
      <c r="V4" s="240">
        <v>0</v>
      </c>
      <c r="W4" s="240">
        <v>79.9</v>
      </c>
      <c r="X4" s="241">
        <v>0.0853</v>
      </c>
      <c r="Y4" s="241">
        <v>0.9147</v>
      </c>
      <c r="Z4" s="240">
        <v>1.15</v>
      </c>
      <c r="AA4" s="240">
        <v>69.37</v>
      </c>
      <c r="AB4" s="240">
        <v>16</v>
      </c>
      <c r="AC4" s="242">
        <f>B4/AB4</f>
        <v>73.704375</v>
      </c>
      <c r="AD4" s="242"/>
      <c r="AE4" s="205"/>
      <c r="AF4" s="243">
        <f>B4/C4</f>
        <v>0.0852566512434934</v>
      </c>
      <c r="AG4" s="244">
        <f>B4/S4</f>
        <v>2.39202839756592</v>
      </c>
      <c r="AH4" s="245">
        <f>(K4+L4)/S4</f>
        <v>2.91724137931034</v>
      </c>
      <c r="AI4" s="246">
        <f>S4/C4</f>
        <v>0.035641989589358</v>
      </c>
      <c r="AJ4" s="208">
        <f>L4/(K4+L4)</f>
        <v>0.348352106800167</v>
      </c>
      <c r="AK4" s="208" t="e" cm="1">
        <f t="array" ref="AK4">O4·/S4</f>
        <v>#NAME?</v>
      </c>
      <c r="AL4" s="205"/>
      <c r="AM4" s="205"/>
      <c r="AN4" s="205"/>
      <c r="AO4" s="205"/>
      <c r="AP4" s="205"/>
      <c r="AQ4" s="205"/>
      <c r="AR4" s="205"/>
      <c r="AS4" s="205"/>
      <c r="AT4" s="205"/>
      <c r="AU4" s="205"/>
      <c r="AV4" s="205"/>
      <c r="AW4" s="205"/>
      <c r="AX4" s="205"/>
      <c r="AY4" s="205"/>
      <c r="AZ4" s="205"/>
      <c r="BA4" s="205"/>
      <c r="BB4" s="205"/>
      <c r="BC4" s="205"/>
      <c r="BD4" s="205"/>
      <c r="BE4" s="205"/>
      <c r="BF4" s="205"/>
      <c r="BG4" s="205"/>
      <c r="BH4" s="205"/>
    </row>
    <row r="5" ht="14.5" hidden="1" outlineLevel="1" spans="1:60">
      <c r="A5" s="236">
        <v>45478</v>
      </c>
      <c r="B5" s="237">
        <v>1182.97</v>
      </c>
      <c r="C5" s="237">
        <v>15957</v>
      </c>
      <c r="D5" s="238">
        <v>0.0495</v>
      </c>
      <c r="E5" s="237">
        <v>790</v>
      </c>
      <c r="F5" s="239">
        <v>74.13</v>
      </c>
      <c r="G5" s="240">
        <v>0.43</v>
      </c>
      <c r="H5" s="240">
        <v>10</v>
      </c>
      <c r="I5" s="237">
        <v>341.2</v>
      </c>
      <c r="J5" s="240">
        <v>7</v>
      </c>
      <c r="K5" s="237">
        <v>301.9</v>
      </c>
      <c r="L5" s="237">
        <v>167</v>
      </c>
      <c r="M5" s="240">
        <v>0.4</v>
      </c>
      <c r="N5" s="239">
        <v>1.5</v>
      </c>
      <c r="O5" s="240">
        <v>8</v>
      </c>
      <c r="P5" s="238">
        <v>0.0101</v>
      </c>
      <c r="Q5" s="240">
        <v>147.87</v>
      </c>
      <c r="R5" s="239">
        <v>43.13</v>
      </c>
      <c r="S5" s="237">
        <v>815</v>
      </c>
      <c r="T5" s="240">
        <v>0</v>
      </c>
      <c r="U5" s="241">
        <v>0</v>
      </c>
      <c r="V5" s="240">
        <v>0</v>
      </c>
      <c r="W5" s="240">
        <v>2</v>
      </c>
      <c r="X5" s="241">
        <v>0.0066</v>
      </c>
      <c r="Y5" s="241">
        <v>0.9934</v>
      </c>
      <c r="Z5" s="240">
        <v>0.37</v>
      </c>
      <c r="AA5" s="240">
        <v>197.16</v>
      </c>
      <c r="AB5" s="240">
        <v>20</v>
      </c>
      <c r="AC5" s="242">
        <f t="shared" ref="AC5:AC31" si="0">B5/AB5</f>
        <v>59.1485</v>
      </c>
      <c r="AD5" s="242"/>
      <c r="AE5" s="205"/>
      <c r="AF5" s="243">
        <f t="shared" ref="AF5:AF31" si="1">B5/C5</f>
        <v>0.0741348624428151</v>
      </c>
      <c r="AG5" s="244">
        <f t="shared" ref="AG5:AG31" si="2">B5/S5</f>
        <v>1.45149693251534</v>
      </c>
      <c r="AH5" s="245">
        <f t="shared" ref="AH5:AH31" si="3">(K5+L5)/S5</f>
        <v>0.575337423312883</v>
      </c>
      <c r="AI5" s="246">
        <f t="shared" ref="AI5:AI31" si="4">S5/C5</f>
        <v>0.0510747634267093</v>
      </c>
      <c r="AJ5" s="208">
        <f t="shared" ref="AJ5:AJ31" si="5">L5/(K5+L5)</f>
        <v>0.35615269780337</v>
      </c>
      <c r="AK5" s="208">
        <f t="shared" ref="AK5:AK36" si="6">O5/S5</f>
        <v>0.0098159509202454</v>
      </c>
      <c r="AL5" s="205"/>
      <c r="AM5" s="205"/>
      <c r="AN5" s="205"/>
      <c r="AO5" s="205"/>
      <c r="AP5" s="205"/>
      <c r="AQ5" s="205"/>
      <c r="AR5" s="205"/>
      <c r="AS5" s="205"/>
      <c r="AT5" s="205"/>
      <c r="AU5" s="205"/>
      <c r="AV5" s="205"/>
      <c r="AW5" s="205"/>
      <c r="AX5" s="205"/>
      <c r="AY5" s="205"/>
      <c r="AZ5" s="205"/>
      <c r="BA5" s="205"/>
      <c r="BB5" s="205"/>
      <c r="BC5" s="205"/>
      <c r="BD5" s="205"/>
      <c r="BE5" s="205"/>
      <c r="BF5" s="205"/>
      <c r="BG5" s="205"/>
      <c r="BH5" s="205"/>
    </row>
    <row r="6" ht="14.5" hidden="1" outlineLevel="1" spans="1:60">
      <c r="A6" s="236">
        <v>45479</v>
      </c>
      <c r="B6" s="237">
        <v>4404.98</v>
      </c>
      <c r="C6" s="237">
        <v>67116</v>
      </c>
      <c r="D6" s="238">
        <v>0.036</v>
      </c>
      <c r="E6" s="237">
        <v>2416</v>
      </c>
      <c r="F6" s="239">
        <v>65.63</v>
      </c>
      <c r="G6" s="240">
        <v>0.9</v>
      </c>
      <c r="H6" s="240">
        <v>56</v>
      </c>
      <c r="I6" s="237">
        <v>2768.26</v>
      </c>
      <c r="J6" s="240">
        <v>54</v>
      </c>
      <c r="K6" s="237">
        <v>2743.56</v>
      </c>
      <c r="L6" s="237">
        <v>1193.04</v>
      </c>
      <c r="M6" s="240">
        <v>0.89</v>
      </c>
      <c r="N6" s="239">
        <v>1.82</v>
      </c>
      <c r="O6" s="240">
        <v>55</v>
      </c>
      <c r="P6" s="238">
        <v>0.0228</v>
      </c>
      <c r="Q6" s="240">
        <v>80.09</v>
      </c>
      <c r="R6" s="239">
        <v>50.81</v>
      </c>
      <c r="S6" s="237">
        <v>2570</v>
      </c>
      <c r="T6" s="240">
        <v>0</v>
      </c>
      <c r="U6" s="241">
        <v>0</v>
      </c>
      <c r="V6" s="240">
        <v>0</v>
      </c>
      <c r="W6" s="240">
        <v>209.59</v>
      </c>
      <c r="X6" s="241">
        <v>0.0764</v>
      </c>
      <c r="Y6" s="241">
        <v>0.9236</v>
      </c>
      <c r="Z6" s="240">
        <v>0.82</v>
      </c>
      <c r="AA6" s="240">
        <v>89.9</v>
      </c>
      <c r="AB6" s="240">
        <v>27</v>
      </c>
      <c r="AC6" s="242">
        <f t="shared" si="0"/>
        <v>163.147407407407</v>
      </c>
      <c r="AD6" s="242"/>
      <c r="AE6" s="205"/>
      <c r="AF6" s="243">
        <f t="shared" si="1"/>
        <v>0.0656323380415996</v>
      </c>
      <c r="AG6" s="244">
        <f t="shared" si="2"/>
        <v>1.714</v>
      </c>
      <c r="AH6" s="245">
        <f t="shared" si="3"/>
        <v>1.53175097276265</v>
      </c>
      <c r="AI6" s="246">
        <f t="shared" si="4"/>
        <v>0.0382919125096847</v>
      </c>
      <c r="AJ6" s="208">
        <f t="shared" si="5"/>
        <v>0.303063557384545</v>
      </c>
      <c r="AK6" s="208">
        <f t="shared" si="6"/>
        <v>0.0214007782101167</v>
      </c>
      <c r="AL6" s="205"/>
      <c r="AM6" s="205"/>
      <c r="AN6" s="205"/>
      <c r="AO6" s="205"/>
      <c r="AP6" s="205"/>
      <c r="AQ6" s="205"/>
      <c r="AR6" s="205"/>
      <c r="AS6" s="205"/>
      <c r="AT6" s="205"/>
      <c r="AU6" s="205"/>
      <c r="AV6" s="205"/>
      <c r="AW6" s="205"/>
      <c r="AX6" s="205"/>
      <c r="AY6" s="205"/>
      <c r="AZ6" s="205"/>
      <c r="BA6" s="205"/>
      <c r="BB6" s="205"/>
      <c r="BC6" s="205"/>
      <c r="BD6" s="205"/>
      <c r="BE6" s="205"/>
      <c r="BF6" s="205"/>
      <c r="BG6" s="205"/>
      <c r="BH6" s="205"/>
    </row>
    <row r="7" ht="14.5" hidden="1" outlineLevel="1" spans="1:60">
      <c r="A7" s="236">
        <v>45480</v>
      </c>
      <c r="B7" s="237">
        <v>7301.95</v>
      </c>
      <c r="C7" s="237">
        <v>141175</v>
      </c>
      <c r="D7" s="238">
        <v>0.0294</v>
      </c>
      <c r="E7" s="237">
        <v>4155</v>
      </c>
      <c r="F7" s="239">
        <v>51.72</v>
      </c>
      <c r="G7" s="240">
        <v>1.09</v>
      </c>
      <c r="H7" s="240">
        <v>104</v>
      </c>
      <c r="I7" s="237">
        <v>5908.32</v>
      </c>
      <c r="J7" s="240">
        <v>102</v>
      </c>
      <c r="K7" s="237">
        <v>5827.42</v>
      </c>
      <c r="L7" s="237">
        <v>2050.98</v>
      </c>
      <c r="M7" s="240">
        <v>1.08</v>
      </c>
      <c r="N7" s="239">
        <v>1.76</v>
      </c>
      <c r="O7" s="240">
        <v>102</v>
      </c>
      <c r="P7" s="238">
        <v>0.0245</v>
      </c>
      <c r="Q7" s="240">
        <v>71.59</v>
      </c>
      <c r="R7" s="239">
        <v>57.13</v>
      </c>
      <c r="S7" s="237">
        <v>4262</v>
      </c>
      <c r="T7" s="240">
        <v>0</v>
      </c>
      <c r="U7" s="241">
        <v>0</v>
      </c>
      <c r="V7" s="240">
        <v>0</v>
      </c>
      <c r="W7" s="247">
        <v>1253.3</v>
      </c>
      <c r="X7" s="241">
        <v>0.2151</v>
      </c>
      <c r="Y7" s="241">
        <v>0.7849</v>
      </c>
      <c r="Z7" s="240">
        <v>0.86</v>
      </c>
      <c r="AA7" s="240">
        <v>93.61</v>
      </c>
      <c r="AB7" s="240">
        <v>68</v>
      </c>
      <c r="AC7" s="242">
        <f t="shared" si="0"/>
        <v>107.381617647059</v>
      </c>
      <c r="AD7" s="242"/>
      <c r="AE7" s="205"/>
      <c r="AF7" s="243">
        <f t="shared" si="1"/>
        <v>0.051722684611298</v>
      </c>
      <c r="AG7" s="244">
        <f t="shared" si="2"/>
        <v>1.71326841858282</v>
      </c>
      <c r="AH7" s="245">
        <f t="shared" si="3"/>
        <v>1.84852182074144</v>
      </c>
      <c r="AI7" s="246">
        <f t="shared" si="4"/>
        <v>0.0301894811404285</v>
      </c>
      <c r="AJ7" s="208">
        <f t="shared" si="5"/>
        <v>0.260329508529651</v>
      </c>
      <c r="AK7" s="208">
        <f t="shared" si="6"/>
        <v>0.0239324260910371</v>
      </c>
      <c r="AL7" s="205"/>
      <c r="AM7" s="205"/>
      <c r="AN7" s="205"/>
      <c r="AO7" s="205"/>
      <c r="AP7" s="205"/>
      <c r="AQ7" s="205"/>
      <c r="AR7" s="205"/>
      <c r="AS7" s="205"/>
      <c r="AT7" s="205"/>
      <c r="AU7" s="205"/>
      <c r="AV7" s="205"/>
      <c r="AW7" s="205"/>
      <c r="AX7" s="205"/>
      <c r="AY7" s="205"/>
      <c r="AZ7" s="205"/>
      <c r="BA7" s="205"/>
      <c r="BB7" s="205"/>
      <c r="BC7" s="205"/>
      <c r="BD7" s="205"/>
      <c r="BE7" s="205"/>
      <c r="BF7" s="205"/>
      <c r="BG7" s="205"/>
      <c r="BH7" s="205"/>
    </row>
    <row r="8" ht="14.5" hidden="1" outlineLevel="1" spans="1:60">
      <c r="A8" s="236">
        <v>45481</v>
      </c>
      <c r="B8" s="237">
        <v>8571.11</v>
      </c>
      <c r="C8" s="237">
        <v>151559</v>
      </c>
      <c r="D8" s="238">
        <v>0.037</v>
      </c>
      <c r="E8" s="237">
        <v>5603</v>
      </c>
      <c r="F8" s="239">
        <v>56.55</v>
      </c>
      <c r="G8" s="240">
        <v>1.18</v>
      </c>
      <c r="H8" s="240">
        <v>129</v>
      </c>
      <c r="I8" s="237">
        <v>7974.41</v>
      </c>
      <c r="J8" s="240">
        <v>128</v>
      </c>
      <c r="K8" s="237">
        <v>7894.51</v>
      </c>
      <c r="L8" s="237">
        <v>2173.96</v>
      </c>
      <c r="M8" s="240">
        <v>1.17</v>
      </c>
      <c r="N8" s="239">
        <v>1.53</v>
      </c>
      <c r="O8" s="240">
        <v>128</v>
      </c>
      <c r="P8" s="238">
        <v>0.0228</v>
      </c>
      <c r="Q8" s="240">
        <v>66.96</v>
      </c>
      <c r="R8" s="239">
        <v>61.68</v>
      </c>
      <c r="S8" s="237">
        <v>5916</v>
      </c>
      <c r="T8" s="240">
        <v>0</v>
      </c>
      <c r="U8" s="241">
        <v>0</v>
      </c>
      <c r="V8" s="240">
        <v>0</v>
      </c>
      <c r="W8" s="247">
        <v>1760.08</v>
      </c>
      <c r="X8" s="241">
        <v>0.2229</v>
      </c>
      <c r="Y8" s="241">
        <v>0.7771</v>
      </c>
      <c r="Z8" s="240">
        <v>0.9</v>
      </c>
      <c r="AA8" s="240">
        <v>89.28</v>
      </c>
      <c r="AB8" s="240">
        <v>102</v>
      </c>
      <c r="AC8" s="242">
        <f t="shared" si="0"/>
        <v>84.0304901960784</v>
      </c>
      <c r="AD8" s="242"/>
      <c r="AE8" s="205"/>
      <c r="AF8" s="243">
        <f t="shared" si="1"/>
        <v>0.0565529595734994</v>
      </c>
      <c r="AG8" s="244">
        <f t="shared" si="2"/>
        <v>1.4488015551048</v>
      </c>
      <c r="AH8" s="245">
        <f t="shared" si="3"/>
        <v>1.70190500338066</v>
      </c>
      <c r="AI8" s="246">
        <f t="shared" si="4"/>
        <v>0.039034303472575</v>
      </c>
      <c r="AJ8" s="208">
        <f t="shared" si="5"/>
        <v>0.215917612109884</v>
      </c>
      <c r="AK8" s="208">
        <f t="shared" si="6"/>
        <v>0.0216362407031778</v>
      </c>
      <c r="AL8" s="205"/>
      <c r="AM8" s="205"/>
      <c r="AN8" s="205"/>
      <c r="AO8" s="205"/>
      <c r="AP8" s="205"/>
      <c r="AQ8" s="205"/>
      <c r="AR8" s="205"/>
      <c r="AS8" s="205"/>
      <c r="AT8" s="205"/>
      <c r="AU8" s="205"/>
      <c r="AV8" s="205"/>
      <c r="AW8" s="205"/>
      <c r="AX8" s="205"/>
      <c r="AY8" s="205"/>
      <c r="AZ8" s="205"/>
      <c r="BA8" s="205"/>
      <c r="BB8" s="205"/>
      <c r="BC8" s="205"/>
      <c r="BD8" s="205"/>
      <c r="BE8" s="205"/>
      <c r="BF8" s="205"/>
      <c r="BG8" s="205"/>
      <c r="BH8" s="205"/>
    </row>
    <row r="9" ht="14.5" hidden="1" outlineLevel="1" spans="1:60">
      <c r="A9" s="236">
        <v>45482</v>
      </c>
      <c r="B9" s="237">
        <v>5864.2</v>
      </c>
      <c r="C9" s="237">
        <v>82729</v>
      </c>
      <c r="D9" s="238">
        <v>0.0423</v>
      </c>
      <c r="E9" s="237">
        <v>3496</v>
      </c>
      <c r="F9" s="239">
        <v>70.88</v>
      </c>
      <c r="G9" s="240">
        <v>1.01</v>
      </c>
      <c r="H9" s="240">
        <v>76</v>
      </c>
      <c r="I9" s="237">
        <v>4319.09</v>
      </c>
      <c r="J9" s="240">
        <v>74</v>
      </c>
      <c r="K9" s="237">
        <v>4221.39</v>
      </c>
      <c r="L9" s="237">
        <v>1610.01</v>
      </c>
      <c r="M9" s="240">
        <v>0.99</v>
      </c>
      <c r="N9" s="239">
        <v>1.68</v>
      </c>
      <c r="O9" s="240">
        <v>73</v>
      </c>
      <c r="P9" s="238">
        <v>0.0209</v>
      </c>
      <c r="Q9" s="240">
        <v>80.33</v>
      </c>
      <c r="R9" s="239">
        <v>57.05</v>
      </c>
      <c r="S9" s="237">
        <v>3443</v>
      </c>
      <c r="T9" s="240">
        <v>0</v>
      </c>
      <c r="U9" s="241">
        <v>0</v>
      </c>
      <c r="V9" s="240">
        <v>0</v>
      </c>
      <c r="W9" s="240">
        <v>756.1</v>
      </c>
      <c r="X9" s="241">
        <v>0.1791</v>
      </c>
      <c r="Y9" s="241">
        <v>0.8209</v>
      </c>
      <c r="Z9" s="240">
        <v>0.82</v>
      </c>
      <c r="AA9" s="240">
        <v>97.74</v>
      </c>
      <c r="AB9" s="240">
        <v>52</v>
      </c>
      <c r="AC9" s="242">
        <f t="shared" si="0"/>
        <v>112.773076923077</v>
      </c>
      <c r="AD9" s="242"/>
      <c r="AE9" s="205"/>
      <c r="AF9" s="243">
        <f t="shared" si="1"/>
        <v>0.0708844540608493</v>
      </c>
      <c r="AG9" s="244">
        <f t="shared" si="2"/>
        <v>1.7032239326169</v>
      </c>
      <c r="AH9" s="245">
        <f t="shared" si="3"/>
        <v>1.69369735695614</v>
      </c>
      <c r="AI9" s="246">
        <f t="shared" si="4"/>
        <v>0.041617812375346</v>
      </c>
      <c r="AJ9" s="208">
        <f t="shared" si="5"/>
        <v>0.276093219467023</v>
      </c>
      <c r="AK9" s="208">
        <f t="shared" si="6"/>
        <v>0.0212024397327912</v>
      </c>
      <c r="AL9" s="205"/>
      <c r="AM9" s="205"/>
      <c r="AN9" s="205"/>
      <c r="AO9" s="205"/>
      <c r="AP9" s="205"/>
      <c r="AQ9" s="205"/>
      <c r="AR9" s="205"/>
      <c r="AS9" s="205"/>
      <c r="AT9" s="205"/>
      <c r="AU9" s="205"/>
      <c r="AV9" s="205"/>
      <c r="AW9" s="205"/>
      <c r="AX9" s="205"/>
      <c r="AY9" s="205"/>
      <c r="AZ9" s="205"/>
      <c r="BA9" s="205"/>
      <c r="BB9" s="205"/>
      <c r="BC9" s="205"/>
      <c r="BD9" s="205"/>
      <c r="BE9" s="205"/>
      <c r="BF9" s="205"/>
      <c r="BG9" s="205"/>
      <c r="BH9" s="205"/>
    </row>
    <row r="10" ht="14.5" hidden="1" outlineLevel="1" spans="1:60">
      <c r="A10" s="236">
        <v>45483</v>
      </c>
      <c r="B10" s="237">
        <v>3319.62</v>
      </c>
      <c r="C10" s="237">
        <v>42698</v>
      </c>
      <c r="D10" s="238">
        <v>0.0448</v>
      </c>
      <c r="E10" s="237">
        <v>1915</v>
      </c>
      <c r="F10" s="239">
        <v>77.75</v>
      </c>
      <c r="G10" s="240">
        <v>1.01</v>
      </c>
      <c r="H10" s="240">
        <v>42</v>
      </c>
      <c r="I10" s="237">
        <v>2418.39</v>
      </c>
      <c r="J10" s="240">
        <v>42</v>
      </c>
      <c r="K10" s="237">
        <v>2418.39</v>
      </c>
      <c r="L10" s="237">
        <v>934.01</v>
      </c>
      <c r="M10" s="240">
        <v>1.01</v>
      </c>
      <c r="N10" s="239">
        <v>1.73</v>
      </c>
      <c r="O10" s="240">
        <v>42</v>
      </c>
      <c r="P10" s="238">
        <v>0.0219</v>
      </c>
      <c r="Q10" s="240">
        <v>79.04</v>
      </c>
      <c r="R10" s="239">
        <v>57.58</v>
      </c>
      <c r="S10" s="237">
        <v>1953</v>
      </c>
      <c r="T10" s="240">
        <v>0</v>
      </c>
      <c r="U10" s="241">
        <v>0</v>
      </c>
      <c r="V10" s="240">
        <v>0</v>
      </c>
      <c r="W10" s="240">
        <v>344.4</v>
      </c>
      <c r="X10" s="241">
        <v>0.1424</v>
      </c>
      <c r="Y10" s="241">
        <v>0.8576</v>
      </c>
      <c r="Z10" s="240">
        <v>0.87</v>
      </c>
      <c r="AA10" s="240">
        <v>92.21</v>
      </c>
      <c r="AB10" s="240">
        <v>27</v>
      </c>
      <c r="AC10" s="242">
        <f t="shared" si="0"/>
        <v>122.948888888889</v>
      </c>
      <c r="AD10" s="242"/>
      <c r="AE10" s="205"/>
      <c r="AF10" s="243">
        <f t="shared" si="1"/>
        <v>0.0777464986650429</v>
      </c>
      <c r="AG10" s="244">
        <f t="shared" si="2"/>
        <v>1.69975422427035</v>
      </c>
      <c r="AH10" s="245">
        <f t="shared" si="3"/>
        <v>1.71653865847414</v>
      </c>
      <c r="AI10" s="246">
        <f t="shared" si="4"/>
        <v>0.0457398472996393</v>
      </c>
      <c r="AJ10" s="208">
        <f t="shared" si="5"/>
        <v>0.278609354492304</v>
      </c>
      <c r="AK10" s="208">
        <f t="shared" si="6"/>
        <v>0.021505376344086</v>
      </c>
      <c r="AL10" s="205"/>
      <c r="AM10" s="205"/>
      <c r="AN10" s="205"/>
      <c r="AO10" s="205"/>
      <c r="AP10" s="205"/>
      <c r="AQ10" s="205"/>
      <c r="AR10" s="205"/>
      <c r="AS10" s="205"/>
      <c r="AT10" s="205"/>
      <c r="AU10" s="205"/>
      <c r="AV10" s="205"/>
      <c r="AW10" s="205"/>
      <c r="AX10" s="205"/>
      <c r="AY10" s="205"/>
      <c r="AZ10" s="205"/>
      <c r="BA10" s="205"/>
      <c r="BB10" s="205"/>
      <c r="BC10" s="205"/>
      <c r="BD10" s="205"/>
      <c r="BE10" s="205"/>
      <c r="BF10" s="205"/>
      <c r="BG10" s="205"/>
      <c r="BH10" s="205"/>
    </row>
    <row r="11" ht="14.5" hidden="1" outlineLevel="1" spans="1:60">
      <c r="A11" s="236">
        <v>45484</v>
      </c>
      <c r="B11" s="237">
        <v>7189.59</v>
      </c>
      <c r="C11" s="237">
        <v>95558</v>
      </c>
      <c r="D11" s="238">
        <v>0.0372</v>
      </c>
      <c r="E11" s="237">
        <v>3554</v>
      </c>
      <c r="F11" s="239">
        <v>75.24</v>
      </c>
      <c r="G11" s="240">
        <v>1.18</v>
      </c>
      <c r="H11" s="240">
        <v>106</v>
      </c>
      <c r="I11" s="237">
        <v>6392.57</v>
      </c>
      <c r="J11" s="240">
        <v>104</v>
      </c>
      <c r="K11" s="237">
        <v>6232.77</v>
      </c>
      <c r="L11" s="237">
        <v>2102.03</v>
      </c>
      <c r="M11" s="240">
        <v>1.16</v>
      </c>
      <c r="N11" s="239">
        <v>2.02</v>
      </c>
      <c r="O11" s="240">
        <v>105</v>
      </c>
      <c r="P11" s="238">
        <v>0.0295</v>
      </c>
      <c r="Q11" s="240">
        <v>68.47</v>
      </c>
      <c r="R11" s="239">
        <v>59.93</v>
      </c>
      <c r="S11" s="237">
        <v>3733</v>
      </c>
      <c r="T11" s="240">
        <v>0</v>
      </c>
      <c r="U11" s="241">
        <v>0</v>
      </c>
      <c r="V11" s="240">
        <v>0</v>
      </c>
      <c r="W11" s="240">
        <v>679</v>
      </c>
      <c r="X11" s="241">
        <v>0.1089</v>
      </c>
      <c r="Y11" s="241">
        <v>0.8911</v>
      </c>
      <c r="Z11" s="240">
        <v>1.03</v>
      </c>
      <c r="AA11" s="240">
        <v>78.15</v>
      </c>
      <c r="AB11" s="240">
        <v>53</v>
      </c>
      <c r="AC11" s="242">
        <f t="shared" si="0"/>
        <v>135.652641509434</v>
      </c>
      <c r="AD11" s="242"/>
      <c r="AE11" s="205"/>
      <c r="AF11" s="243">
        <f t="shared" si="1"/>
        <v>0.0752379706565646</v>
      </c>
      <c r="AG11" s="244">
        <f t="shared" si="2"/>
        <v>1.92595499598178</v>
      </c>
      <c r="AH11" s="245">
        <f t="shared" si="3"/>
        <v>2.23273506563086</v>
      </c>
      <c r="AI11" s="246">
        <f t="shared" si="4"/>
        <v>0.0390652797254024</v>
      </c>
      <c r="AJ11" s="208">
        <f t="shared" si="5"/>
        <v>0.252199212938523</v>
      </c>
      <c r="AK11" s="208">
        <f t="shared" si="6"/>
        <v>0.0281275113849451</v>
      </c>
      <c r="AL11" s="205"/>
      <c r="AM11" s="205"/>
      <c r="AN11" s="205"/>
      <c r="AO11" s="205"/>
      <c r="AP11" s="205"/>
      <c r="AQ11" s="205"/>
      <c r="AR11" s="205"/>
      <c r="AS11" s="205"/>
      <c r="AT11" s="205"/>
      <c r="AU11" s="205"/>
      <c r="AV11" s="205"/>
      <c r="AW11" s="205"/>
      <c r="AX11" s="205"/>
      <c r="AY11" s="205"/>
      <c r="AZ11" s="205"/>
      <c r="BA11" s="205"/>
      <c r="BB11" s="205"/>
      <c r="BC11" s="205"/>
      <c r="BD11" s="205"/>
      <c r="BE11" s="205"/>
      <c r="BF11" s="205"/>
      <c r="BG11" s="205"/>
      <c r="BH11" s="205"/>
    </row>
    <row r="12" ht="14.5" hidden="1" outlineLevel="1" spans="1:60">
      <c r="A12" s="236">
        <v>45485</v>
      </c>
      <c r="B12" s="237">
        <v>12332.54</v>
      </c>
      <c r="C12" s="237">
        <v>150642</v>
      </c>
      <c r="D12" s="238">
        <v>0.0376</v>
      </c>
      <c r="E12" s="237">
        <v>5662</v>
      </c>
      <c r="F12" s="239">
        <v>81.87</v>
      </c>
      <c r="G12" s="240">
        <v>0.99</v>
      </c>
      <c r="H12" s="240">
        <v>158</v>
      </c>
      <c r="I12" s="237">
        <v>8711.83</v>
      </c>
      <c r="J12" s="240">
        <v>157</v>
      </c>
      <c r="K12" s="237">
        <v>8661.93</v>
      </c>
      <c r="L12" s="237">
        <v>3507.07</v>
      </c>
      <c r="M12" s="240">
        <v>0.99</v>
      </c>
      <c r="N12" s="239">
        <v>2.18</v>
      </c>
      <c r="O12" s="240">
        <v>155</v>
      </c>
      <c r="P12" s="238">
        <v>0.0274</v>
      </c>
      <c r="Q12" s="240">
        <v>79.56</v>
      </c>
      <c r="R12" s="239">
        <v>55.17</v>
      </c>
      <c r="S12" s="237">
        <v>6166</v>
      </c>
      <c r="T12" s="240">
        <v>0</v>
      </c>
      <c r="U12" s="241">
        <v>0</v>
      </c>
      <c r="V12" s="240">
        <v>0</v>
      </c>
      <c r="W12" s="247">
        <v>1307</v>
      </c>
      <c r="X12" s="241">
        <v>0.1509</v>
      </c>
      <c r="Y12" s="241">
        <v>0.8491</v>
      </c>
      <c r="Z12" s="240">
        <v>0.84</v>
      </c>
      <c r="AA12" s="240">
        <v>93.43</v>
      </c>
      <c r="AB12" s="240">
        <v>76</v>
      </c>
      <c r="AC12" s="242">
        <f t="shared" si="0"/>
        <v>162.270263157895</v>
      </c>
      <c r="AD12" s="242"/>
      <c r="AE12" s="205"/>
      <c r="AF12" s="243">
        <f t="shared" si="1"/>
        <v>0.0818665445227759</v>
      </c>
      <c r="AG12" s="244">
        <f t="shared" si="2"/>
        <v>2.00008757703536</v>
      </c>
      <c r="AH12" s="245">
        <f t="shared" si="3"/>
        <v>1.97356470969835</v>
      </c>
      <c r="AI12" s="246">
        <f t="shared" si="4"/>
        <v>0.0409314799325553</v>
      </c>
      <c r="AJ12" s="208">
        <f t="shared" si="5"/>
        <v>0.288197058098447</v>
      </c>
      <c r="AK12" s="208">
        <f t="shared" si="6"/>
        <v>0.0251378527408368</v>
      </c>
      <c r="AL12" s="205"/>
      <c r="AM12" s="205"/>
      <c r="AN12" s="205"/>
      <c r="AO12" s="205"/>
      <c r="AP12" s="205"/>
      <c r="AQ12" s="205"/>
      <c r="AR12" s="205"/>
      <c r="AS12" s="205"/>
      <c r="AT12" s="205"/>
      <c r="AU12" s="205"/>
      <c r="AV12" s="205"/>
      <c r="AW12" s="205"/>
      <c r="AX12" s="205"/>
      <c r="AY12" s="205"/>
      <c r="AZ12" s="205"/>
      <c r="BA12" s="205"/>
      <c r="BB12" s="205"/>
      <c r="BC12" s="205"/>
      <c r="BD12" s="205"/>
      <c r="BE12" s="205"/>
      <c r="BF12" s="205"/>
      <c r="BG12" s="205"/>
      <c r="BH12" s="205"/>
    </row>
    <row r="13" ht="14.5" hidden="1" outlineLevel="1" spans="1:60">
      <c r="A13" s="236">
        <v>45486</v>
      </c>
      <c r="B13" s="237">
        <v>14375.14</v>
      </c>
      <c r="C13" s="237">
        <v>183965</v>
      </c>
      <c r="D13" s="238">
        <v>0.0304</v>
      </c>
      <c r="E13" s="237">
        <v>5589</v>
      </c>
      <c r="F13" s="239">
        <v>78.14</v>
      </c>
      <c r="G13" s="240">
        <v>0.97</v>
      </c>
      <c r="H13" s="240">
        <v>185</v>
      </c>
      <c r="I13" s="237">
        <v>9953.73</v>
      </c>
      <c r="J13" s="240">
        <v>183</v>
      </c>
      <c r="K13" s="237">
        <v>9889.93</v>
      </c>
      <c r="L13" s="237">
        <v>3997.99</v>
      </c>
      <c r="M13" s="240">
        <v>0.97</v>
      </c>
      <c r="N13" s="239">
        <v>2.57</v>
      </c>
      <c r="O13" s="240">
        <v>183</v>
      </c>
      <c r="P13" s="238">
        <v>0.0327</v>
      </c>
      <c r="Q13" s="240">
        <v>78.55</v>
      </c>
      <c r="R13" s="239">
        <v>54.04</v>
      </c>
      <c r="S13" s="237">
        <v>5927</v>
      </c>
      <c r="T13" s="240">
        <v>0</v>
      </c>
      <c r="U13" s="241">
        <v>0</v>
      </c>
      <c r="V13" s="240">
        <v>0</v>
      </c>
      <c r="W13" s="247">
        <v>1508.01</v>
      </c>
      <c r="X13" s="241">
        <v>0.1525</v>
      </c>
      <c r="Y13" s="241">
        <v>0.8475</v>
      </c>
      <c r="Z13" s="240">
        <v>0.83</v>
      </c>
      <c r="AA13" s="240">
        <v>92.74</v>
      </c>
      <c r="AB13" s="240">
        <v>83</v>
      </c>
      <c r="AC13" s="242">
        <f t="shared" si="0"/>
        <v>173.194457831325</v>
      </c>
      <c r="AD13" s="242"/>
      <c r="AE13" s="205"/>
      <c r="AF13" s="243">
        <f t="shared" si="1"/>
        <v>0.0781406245753268</v>
      </c>
      <c r="AG13" s="244">
        <f t="shared" si="2"/>
        <v>2.42536527754345</v>
      </c>
      <c r="AH13" s="245">
        <f t="shared" si="3"/>
        <v>2.3431618019234</v>
      </c>
      <c r="AI13" s="246">
        <f t="shared" si="4"/>
        <v>0.0322180849618134</v>
      </c>
      <c r="AJ13" s="208">
        <f t="shared" si="5"/>
        <v>0.287875362185266</v>
      </c>
      <c r="AK13" s="208">
        <f t="shared" si="6"/>
        <v>0.030875653787751</v>
      </c>
      <c r="AL13" s="205"/>
      <c r="AM13" s="205"/>
      <c r="AN13" s="205"/>
      <c r="AO13" s="205"/>
      <c r="AP13" s="205"/>
      <c r="AQ13" s="205"/>
      <c r="AR13" s="205"/>
      <c r="AS13" s="205"/>
      <c r="AT13" s="205"/>
      <c r="AU13" s="205"/>
      <c r="AV13" s="205"/>
      <c r="AW13" s="205"/>
      <c r="AX13" s="205"/>
      <c r="AY13" s="205"/>
      <c r="AZ13" s="205"/>
      <c r="BA13" s="205"/>
      <c r="BB13" s="205"/>
      <c r="BC13" s="205"/>
      <c r="BD13" s="205"/>
      <c r="BE13" s="205"/>
      <c r="BF13" s="205"/>
      <c r="BG13" s="205"/>
      <c r="BH13" s="205"/>
    </row>
    <row r="14" ht="14.5" hidden="1" outlineLevel="1" spans="1:60">
      <c r="A14" s="236">
        <v>45487</v>
      </c>
      <c r="B14" s="237">
        <v>8804.79</v>
      </c>
      <c r="C14" s="237">
        <v>124251</v>
      </c>
      <c r="D14" s="238">
        <v>0.0338</v>
      </c>
      <c r="E14" s="237">
        <v>4203</v>
      </c>
      <c r="F14" s="239">
        <v>70.86</v>
      </c>
      <c r="G14" s="240">
        <v>1.28</v>
      </c>
      <c r="H14" s="240">
        <v>146</v>
      </c>
      <c r="I14" s="237">
        <v>8654.65</v>
      </c>
      <c r="J14" s="240">
        <v>140</v>
      </c>
      <c r="K14" s="237">
        <v>8284.25</v>
      </c>
      <c r="L14" s="237">
        <v>2646.05</v>
      </c>
      <c r="M14" s="240">
        <v>1.24</v>
      </c>
      <c r="N14" s="239">
        <v>2.09</v>
      </c>
      <c r="O14" s="240">
        <v>138</v>
      </c>
      <c r="P14" s="238">
        <v>0.0328</v>
      </c>
      <c r="Q14" s="240">
        <v>63.8</v>
      </c>
      <c r="R14" s="239">
        <v>59.17</v>
      </c>
      <c r="S14" s="237">
        <v>4633</v>
      </c>
      <c r="T14" s="240">
        <v>0</v>
      </c>
      <c r="U14" s="241">
        <v>0</v>
      </c>
      <c r="V14" s="240">
        <v>0</v>
      </c>
      <c r="W14" s="247">
        <v>1240.79</v>
      </c>
      <c r="X14" s="241">
        <v>0.1498</v>
      </c>
      <c r="Y14" s="241">
        <v>0.8502</v>
      </c>
      <c r="Z14" s="240">
        <v>1.07</v>
      </c>
      <c r="AA14" s="240">
        <v>73.99</v>
      </c>
      <c r="AB14" s="240">
        <v>78</v>
      </c>
      <c r="AC14" s="242">
        <f t="shared" si="0"/>
        <v>112.881923076923</v>
      </c>
      <c r="AD14" s="242"/>
      <c r="AE14" s="205"/>
      <c r="AF14" s="243">
        <f t="shared" si="1"/>
        <v>0.0708629306806384</v>
      </c>
      <c r="AG14" s="244">
        <f t="shared" si="2"/>
        <v>1.90045111159076</v>
      </c>
      <c r="AH14" s="245">
        <f t="shared" si="3"/>
        <v>2.35922728253831</v>
      </c>
      <c r="AI14" s="246">
        <f t="shared" si="4"/>
        <v>0.0372874262581388</v>
      </c>
      <c r="AJ14" s="208">
        <f t="shared" si="5"/>
        <v>0.242083931822548</v>
      </c>
      <c r="AK14" s="208">
        <f t="shared" si="6"/>
        <v>0.0297863155622707</v>
      </c>
      <c r="AL14" s="205"/>
      <c r="AM14" s="205"/>
      <c r="AN14" s="205"/>
      <c r="AO14" s="205"/>
      <c r="AP14" s="205"/>
      <c r="AQ14" s="205"/>
      <c r="AR14" s="205"/>
      <c r="AS14" s="205"/>
      <c r="AT14" s="205"/>
      <c r="AU14" s="205"/>
      <c r="AV14" s="205"/>
      <c r="AW14" s="205"/>
      <c r="AX14" s="205"/>
      <c r="AY14" s="205"/>
      <c r="AZ14" s="205"/>
      <c r="BA14" s="205"/>
      <c r="BB14" s="205"/>
      <c r="BC14" s="205"/>
      <c r="BD14" s="205"/>
      <c r="BE14" s="205"/>
      <c r="BF14" s="205"/>
      <c r="BG14" s="205"/>
      <c r="BH14" s="205"/>
    </row>
    <row r="15" ht="14.5" hidden="1" outlineLevel="1" spans="1:60">
      <c r="A15" s="236">
        <v>45488</v>
      </c>
      <c r="B15" s="237">
        <v>17859.94</v>
      </c>
      <c r="C15" s="237">
        <v>323494</v>
      </c>
      <c r="D15" s="238">
        <v>0.0294</v>
      </c>
      <c r="E15" s="237">
        <v>9509</v>
      </c>
      <c r="F15" s="239">
        <v>55.21</v>
      </c>
      <c r="G15" s="240">
        <v>1.08</v>
      </c>
      <c r="H15" s="240">
        <v>247</v>
      </c>
      <c r="I15" s="237">
        <v>15725.07</v>
      </c>
      <c r="J15" s="240">
        <v>242</v>
      </c>
      <c r="K15" s="237">
        <v>15609.77</v>
      </c>
      <c r="L15" s="237">
        <v>3636.13</v>
      </c>
      <c r="M15" s="240">
        <v>1.08</v>
      </c>
      <c r="N15" s="239">
        <v>1.88</v>
      </c>
      <c r="O15" s="240">
        <v>244</v>
      </c>
      <c r="P15" s="238">
        <v>0.0257</v>
      </c>
      <c r="Q15" s="240">
        <v>73.2</v>
      </c>
      <c r="R15" s="239">
        <v>64.5</v>
      </c>
      <c r="S15" s="237">
        <v>11041</v>
      </c>
      <c r="T15" s="240">
        <v>0</v>
      </c>
      <c r="U15" s="241">
        <v>0</v>
      </c>
      <c r="V15" s="240">
        <v>0</v>
      </c>
      <c r="W15" s="247">
        <v>2185.88</v>
      </c>
      <c r="X15" s="241">
        <v>0.14</v>
      </c>
      <c r="Y15" s="241">
        <v>0.86</v>
      </c>
      <c r="Z15" s="240">
        <v>0.93</v>
      </c>
      <c r="AA15" s="240">
        <v>86.28</v>
      </c>
      <c r="AB15" s="240">
        <v>171</v>
      </c>
      <c r="AC15" s="242">
        <f t="shared" si="0"/>
        <v>104.444093567251</v>
      </c>
      <c r="AD15" s="242"/>
      <c r="AE15" s="205"/>
      <c r="AF15" s="243">
        <f t="shared" si="1"/>
        <v>0.0552094938391438</v>
      </c>
      <c r="AG15" s="244">
        <f t="shared" si="2"/>
        <v>1.61760166651571</v>
      </c>
      <c r="AH15" s="245">
        <f t="shared" si="3"/>
        <v>1.74313015125442</v>
      </c>
      <c r="AI15" s="246">
        <f t="shared" si="4"/>
        <v>0.0341304630070419</v>
      </c>
      <c r="AJ15" s="208">
        <f t="shared" si="5"/>
        <v>0.188930109789618</v>
      </c>
      <c r="AK15" s="208">
        <f t="shared" si="6"/>
        <v>0.0220994475138122</v>
      </c>
      <c r="AL15" s="205"/>
      <c r="AM15" s="205"/>
      <c r="AN15" s="205"/>
      <c r="AO15" s="205"/>
      <c r="AP15" s="205"/>
      <c r="AQ15" s="205"/>
      <c r="AR15" s="205"/>
      <c r="AS15" s="205"/>
      <c r="AT15" s="205"/>
      <c r="AU15" s="205"/>
      <c r="AV15" s="205"/>
      <c r="AW15" s="205"/>
      <c r="AX15" s="205"/>
      <c r="AY15" s="205"/>
      <c r="AZ15" s="205"/>
      <c r="BA15" s="205"/>
      <c r="BB15" s="205"/>
      <c r="BC15" s="205"/>
      <c r="BD15" s="205"/>
      <c r="BE15" s="205"/>
      <c r="BF15" s="205"/>
      <c r="BG15" s="205"/>
      <c r="BH15" s="205"/>
    </row>
    <row r="16" ht="14.5" hidden="1" outlineLevel="1" spans="1:60">
      <c r="A16" s="236">
        <v>45489</v>
      </c>
      <c r="B16" s="237">
        <v>15583.28</v>
      </c>
      <c r="C16" s="237">
        <v>202738</v>
      </c>
      <c r="D16" s="238">
        <v>0.0424</v>
      </c>
      <c r="E16" s="237">
        <v>8598</v>
      </c>
      <c r="F16" s="239">
        <v>76.86</v>
      </c>
      <c r="G16" s="240">
        <v>1.2</v>
      </c>
      <c r="H16" s="240">
        <v>234</v>
      </c>
      <c r="I16" s="237">
        <v>14275.52</v>
      </c>
      <c r="J16" s="240">
        <v>229</v>
      </c>
      <c r="K16" s="237">
        <v>13984.32</v>
      </c>
      <c r="L16" s="237">
        <v>4390.08</v>
      </c>
      <c r="M16" s="240">
        <v>1.18</v>
      </c>
      <c r="N16" s="239">
        <v>1.81</v>
      </c>
      <c r="O16" s="240">
        <v>230</v>
      </c>
      <c r="P16" s="238">
        <v>0.0268</v>
      </c>
      <c r="Q16" s="240">
        <v>67.75</v>
      </c>
      <c r="R16" s="239">
        <v>61.07</v>
      </c>
      <c r="S16" s="237">
        <v>9848</v>
      </c>
      <c r="T16" s="240">
        <v>0</v>
      </c>
      <c r="U16" s="241">
        <v>0</v>
      </c>
      <c r="V16" s="240">
        <v>0</v>
      </c>
      <c r="W16" s="247">
        <v>1041.39</v>
      </c>
      <c r="X16" s="241">
        <v>0.0745</v>
      </c>
      <c r="Y16" s="241">
        <v>0.9255</v>
      </c>
      <c r="Z16" s="240">
        <v>1.09</v>
      </c>
      <c r="AA16" s="240">
        <v>74.21</v>
      </c>
      <c r="AB16" s="240">
        <v>144</v>
      </c>
      <c r="AC16" s="242">
        <f t="shared" si="0"/>
        <v>108.217222222222</v>
      </c>
      <c r="AD16" s="242"/>
      <c r="AE16" s="205"/>
      <c r="AF16" s="243">
        <f t="shared" si="1"/>
        <v>0.0768641300594856</v>
      </c>
      <c r="AG16" s="244">
        <f t="shared" si="2"/>
        <v>1.58238017871649</v>
      </c>
      <c r="AH16" s="245">
        <f t="shared" si="3"/>
        <v>1.86580016246954</v>
      </c>
      <c r="AI16" s="246">
        <f t="shared" si="4"/>
        <v>0.0485750081385828</v>
      </c>
      <c r="AJ16" s="208">
        <f t="shared" si="5"/>
        <v>0.238923719958203</v>
      </c>
      <c r="AK16" s="208">
        <f t="shared" si="6"/>
        <v>0.0233549959382616</v>
      </c>
      <c r="AL16" s="205"/>
      <c r="AM16" s="205"/>
      <c r="AN16" s="205"/>
      <c r="AO16" s="205"/>
      <c r="AP16" s="205"/>
      <c r="AQ16" s="205"/>
      <c r="AR16" s="205"/>
      <c r="AS16" s="205"/>
      <c r="AT16" s="205"/>
      <c r="AU16" s="205"/>
      <c r="AV16" s="205"/>
      <c r="AW16" s="205"/>
      <c r="AX16" s="205"/>
      <c r="AY16" s="205"/>
      <c r="AZ16" s="205"/>
      <c r="BA16" s="205"/>
      <c r="BB16" s="205"/>
      <c r="BC16" s="205"/>
      <c r="BD16" s="205"/>
      <c r="BE16" s="205"/>
      <c r="BF16" s="205"/>
      <c r="BG16" s="205"/>
      <c r="BH16" s="205"/>
    </row>
    <row r="17" ht="14.5" hidden="1" outlineLevel="1" spans="1:60">
      <c r="A17" s="236">
        <v>45490</v>
      </c>
      <c r="B17" s="237">
        <v>24579.49</v>
      </c>
      <c r="C17" s="237">
        <v>449293</v>
      </c>
      <c r="D17" s="238">
        <v>0.026</v>
      </c>
      <c r="E17" s="237">
        <v>11698</v>
      </c>
      <c r="F17" s="239">
        <v>54.71</v>
      </c>
      <c r="G17" s="240">
        <v>1.16</v>
      </c>
      <c r="H17" s="240">
        <v>348</v>
      </c>
      <c r="I17" s="237">
        <v>21621.02</v>
      </c>
      <c r="J17" s="240">
        <v>341</v>
      </c>
      <c r="K17" s="237">
        <v>21474.62</v>
      </c>
      <c r="L17" s="237">
        <v>6833.18</v>
      </c>
      <c r="M17" s="240">
        <v>1.15</v>
      </c>
      <c r="N17" s="239">
        <v>2.1</v>
      </c>
      <c r="O17" s="240">
        <v>340</v>
      </c>
      <c r="P17" s="238">
        <v>0.0291</v>
      </c>
      <c r="Q17" s="240">
        <v>72.29</v>
      </c>
      <c r="R17" s="239">
        <v>62.98</v>
      </c>
      <c r="S17" s="237">
        <v>14451</v>
      </c>
      <c r="T17" s="240">
        <v>0</v>
      </c>
      <c r="U17" s="241">
        <v>0</v>
      </c>
      <c r="V17" s="240">
        <v>0</v>
      </c>
      <c r="W17" s="247">
        <v>2711.99</v>
      </c>
      <c r="X17" s="241">
        <v>0.1263</v>
      </c>
      <c r="Y17" s="241">
        <v>0.8737</v>
      </c>
      <c r="Z17" s="240">
        <v>1.01</v>
      </c>
      <c r="AA17" s="240">
        <v>81.12</v>
      </c>
      <c r="AB17" s="240">
        <v>166</v>
      </c>
      <c r="AC17" s="242">
        <f t="shared" si="0"/>
        <v>148.06921686747</v>
      </c>
      <c r="AD17" s="242"/>
      <c r="AE17" s="205"/>
      <c r="AF17" s="243">
        <f t="shared" si="1"/>
        <v>0.0547070397268598</v>
      </c>
      <c r="AG17" s="244">
        <f t="shared" si="2"/>
        <v>1.70088505985745</v>
      </c>
      <c r="AH17" s="245">
        <f t="shared" si="3"/>
        <v>1.95888173828801</v>
      </c>
      <c r="AI17" s="246">
        <f t="shared" si="4"/>
        <v>0.0321638663411182</v>
      </c>
      <c r="AJ17" s="208">
        <f t="shared" si="5"/>
        <v>0.241388592543398</v>
      </c>
      <c r="AK17" s="208">
        <f t="shared" si="6"/>
        <v>0.0235277835443914</v>
      </c>
      <c r="AL17" s="205"/>
      <c r="AM17" s="205"/>
      <c r="AN17" s="205"/>
      <c r="AO17" s="205"/>
      <c r="AP17" s="205"/>
      <c r="AQ17" s="205"/>
      <c r="AR17" s="205"/>
      <c r="AS17" s="205"/>
      <c r="AT17" s="205"/>
      <c r="AU17" s="205"/>
      <c r="AV17" s="205"/>
      <c r="AW17" s="205"/>
      <c r="AX17" s="205"/>
      <c r="AY17" s="205"/>
      <c r="AZ17" s="205"/>
      <c r="BA17" s="205"/>
      <c r="BB17" s="205"/>
      <c r="BC17" s="205"/>
      <c r="BD17" s="205"/>
      <c r="BE17" s="205"/>
      <c r="BF17" s="205"/>
      <c r="BG17" s="205"/>
      <c r="BH17" s="205"/>
    </row>
    <row r="18" ht="14.5" hidden="1" outlineLevel="1" spans="1:60">
      <c r="A18" s="236">
        <v>45491</v>
      </c>
      <c r="B18" s="237">
        <v>32817.03</v>
      </c>
      <c r="C18" s="237">
        <v>607728</v>
      </c>
      <c r="D18" s="238">
        <v>0.0257</v>
      </c>
      <c r="E18" s="237">
        <v>15593</v>
      </c>
      <c r="F18" s="239">
        <v>54</v>
      </c>
      <c r="G18" s="240">
        <v>1.18</v>
      </c>
      <c r="H18" s="240">
        <v>487</v>
      </c>
      <c r="I18" s="237">
        <v>28132.38</v>
      </c>
      <c r="J18" s="240">
        <v>478</v>
      </c>
      <c r="K18" s="237">
        <v>27747.08</v>
      </c>
      <c r="L18" s="237">
        <v>10685.12</v>
      </c>
      <c r="M18" s="240">
        <v>1.17</v>
      </c>
      <c r="N18" s="239">
        <v>2.1</v>
      </c>
      <c r="O18" s="240">
        <v>485</v>
      </c>
      <c r="P18" s="238">
        <v>0.0311</v>
      </c>
      <c r="Q18" s="240">
        <v>67.66</v>
      </c>
      <c r="R18" s="239">
        <v>58.05</v>
      </c>
      <c r="S18" s="237">
        <v>18103</v>
      </c>
      <c r="T18" s="240">
        <v>0</v>
      </c>
      <c r="U18" s="241">
        <v>0</v>
      </c>
      <c r="V18" s="240">
        <v>0</v>
      </c>
      <c r="W18" s="247">
        <v>2675.59</v>
      </c>
      <c r="X18" s="241">
        <v>0.0964</v>
      </c>
      <c r="Y18" s="241">
        <v>0.9036</v>
      </c>
      <c r="Z18" s="240">
        <v>1.06</v>
      </c>
      <c r="AA18" s="240">
        <v>76.68</v>
      </c>
      <c r="AB18" s="240">
        <v>174</v>
      </c>
      <c r="AC18" s="242">
        <f t="shared" si="0"/>
        <v>188.603620689655</v>
      </c>
      <c r="AD18" s="242"/>
      <c r="AE18" s="205"/>
      <c r="AF18" s="243">
        <f t="shared" si="1"/>
        <v>0.0539995359766211</v>
      </c>
      <c r="AG18" s="244">
        <f t="shared" si="2"/>
        <v>1.81279511683146</v>
      </c>
      <c r="AH18" s="245">
        <f t="shared" si="3"/>
        <v>2.12297409269182</v>
      </c>
      <c r="AI18" s="246">
        <f t="shared" si="4"/>
        <v>0.029787997261933</v>
      </c>
      <c r="AJ18" s="208">
        <f t="shared" si="5"/>
        <v>0.278025197620745</v>
      </c>
      <c r="AK18" s="208">
        <f t="shared" si="6"/>
        <v>0.0267911395901232</v>
      </c>
      <c r="AL18" s="205"/>
      <c r="AM18" s="205"/>
      <c r="AN18" s="205"/>
      <c r="AO18" s="205"/>
      <c r="AP18" s="205"/>
      <c r="AQ18" s="205"/>
      <c r="AR18" s="205"/>
      <c r="AS18" s="205"/>
      <c r="AT18" s="205"/>
      <c r="AU18" s="205"/>
      <c r="AV18" s="205"/>
      <c r="AW18" s="205"/>
      <c r="AX18" s="205"/>
      <c r="AY18" s="205"/>
      <c r="AZ18" s="205"/>
      <c r="BA18" s="205"/>
      <c r="BB18" s="205"/>
      <c r="BC18" s="205"/>
      <c r="BD18" s="205"/>
      <c r="BE18" s="205"/>
      <c r="BF18" s="205"/>
      <c r="BG18" s="205"/>
      <c r="BH18" s="205"/>
    </row>
    <row r="19" ht="14.5" hidden="1" outlineLevel="1" spans="1:60">
      <c r="A19" s="236">
        <v>45492</v>
      </c>
      <c r="B19" s="237">
        <v>44176.17</v>
      </c>
      <c r="C19" s="237">
        <v>661562</v>
      </c>
      <c r="D19" s="238">
        <v>0.035</v>
      </c>
      <c r="E19" s="237">
        <v>23162</v>
      </c>
      <c r="F19" s="239">
        <v>66.78</v>
      </c>
      <c r="G19" s="240">
        <v>1.05</v>
      </c>
      <c r="H19" s="240">
        <v>586</v>
      </c>
      <c r="I19" s="237">
        <v>33965.02</v>
      </c>
      <c r="J19" s="240">
        <v>572</v>
      </c>
      <c r="K19" s="237">
        <v>33414.42</v>
      </c>
      <c r="L19" s="237">
        <v>12544.38</v>
      </c>
      <c r="M19" s="240">
        <v>1.04</v>
      </c>
      <c r="N19" s="239">
        <v>1.91</v>
      </c>
      <c r="O19" s="240">
        <v>575</v>
      </c>
      <c r="P19" s="238">
        <v>0.0248</v>
      </c>
      <c r="Q19" s="240">
        <v>76.83</v>
      </c>
      <c r="R19" s="239">
        <v>58.42</v>
      </c>
      <c r="S19" s="237">
        <v>27438</v>
      </c>
      <c r="T19" s="240">
        <v>0</v>
      </c>
      <c r="U19" s="241">
        <v>0</v>
      </c>
      <c r="V19" s="240">
        <v>0</v>
      </c>
      <c r="W19" s="247">
        <v>3645.96</v>
      </c>
      <c r="X19" s="241">
        <v>0.1091</v>
      </c>
      <c r="Y19" s="241">
        <v>0.8909</v>
      </c>
      <c r="Z19" s="240">
        <v>0.93</v>
      </c>
      <c r="AA19" s="240">
        <v>87.13</v>
      </c>
      <c r="AB19" s="240">
        <v>274</v>
      </c>
      <c r="AC19" s="242">
        <f t="shared" si="0"/>
        <v>161.226897810219</v>
      </c>
      <c r="AD19" s="242"/>
      <c r="AE19" s="205"/>
      <c r="AF19" s="243">
        <f t="shared" si="1"/>
        <v>0.0667755554279115</v>
      </c>
      <c r="AG19" s="244">
        <f t="shared" si="2"/>
        <v>1.61003608134704</v>
      </c>
      <c r="AH19" s="245">
        <f t="shared" si="3"/>
        <v>1.67500546687076</v>
      </c>
      <c r="AI19" s="246">
        <f t="shared" si="4"/>
        <v>0.0414745707885278</v>
      </c>
      <c r="AJ19" s="208">
        <f t="shared" si="5"/>
        <v>0.27294837985326</v>
      </c>
      <c r="AK19" s="208">
        <f t="shared" si="6"/>
        <v>0.0209563379255048</v>
      </c>
      <c r="AL19" s="205"/>
      <c r="AM19" s="205"/>
      <c r="AN19" s="205"/>
      <c r="AO19" s="205"/>
      <c r="AP19" s="205"/>
      <c r="AQ19" s="205"/>
      <c r="AR19" s="205"/>
      <c r="AS19" s="205"/>
      <c r="AT19" s="205"/>
      <c r="AU19" s="205"/>
      <c r="AV19" s="205"/>
      <c r="AW19" s="205"/>
      <c r="AX19" s="205"/>
      <c r="AY19" s="205"/>
      <c r="AZ19" s="205"/>
      <c r="BA19" s="205"/>
      <c r="BB19" s="205"/>
      <c r="BC19" s="205"/>
      <c r="BD19" s="205"/>
      <c r="BE19" s="205"/>
      <c r="BF19" s="205"/>
      <c r="BG19" s="205"/>
      <c r="BH19" s="205"/>
    </row>
    <row r="20" ht="14.5" hidden="1" outlineLevel="1" spans="1:60">
      <c r="A20" s="236">
        <v>45493</v>
      </c>
      <c r="B20" s="237">
        <v>54941.68</v>
      </c>
      <c r="C20" s="237">
        <v>826778</v>
      </c>
      <c r="D20" s="238">
        <v>0.0317</v>
      </c>
      <c r="E20" s="237">
        <v>26212</v>
      </c>
      <c r="F20" s="239">
        <v>66.45</v>
      </c>
      <c r="G20" s="240">
        <v>1.09</v>
      </c>
      <c r="H20" s="240">
        <v>752</v>
      </c>
      <c r="I20" s="237">
        <v>44171</v>
      </c>
      <c r="J20" s="240">
        <v>743</v>
      </c>
      <c r="K20" s="237">
        <v>43909.79</v>
      </c>
      <c r="L20" s="237">
        <v>15624.31</v>
      </c>
      <c r="M20" s="240">
        <v>1.08</v>
      </c>
      <c r="N20" s="239">
        <v>2.1</v>
      </c>
      <c r="O20" s="240">
        <v>749</v>
      </c>
      <c r="P20" s="238">
        <v>0.0286</v>
      </c>
      <c r="Q20" s="240">
        <v>73.35</v>
      </c>
      <c r="R20" s="239">
        <v>59.1</v>
      </c>
      <c r="S20" s="237">
        <v>30603</v>
      </c>
      <c r="T20" s="240">
        <v>0</v>
      </c>
      <c r="U20" s="241">
        <v>0</v>
      </c>
      <c r="V20" s="240">
        <v>0</v>
      </c>
      <c r="W20" s="247">
        <v>4836.77</v>
      </c>
      <c r="X20" s="241">
        <v>0.1102</v>
      </c>
      <c r="Y20" s="241">
        <v>0.8898</v>
      </c>
      <c r="Z20" s="240">
        <v>0.96</v>
      </c>
      <c r="AA20" s="240">
        <v>84.27</v>
      </c>
      <c r="AB20" s="240">
        <v>335</v>
      </c>
      <c r="AC20" s="242">
        <f t="shared" si="0"/>
        <v>164.005014925373</v>
      </c>
      <c r="AD20" s="242"/>
      <c r="AE20" s="205"/>
      <c r="AF20" s="243">
        <f t="shared" si="1"/>
        <v>0.0664527599911947</v>
      </c>
      <c r="AG20" s="244">
        <f t="shared" si="2"/>
        <v>1.79530372839264</v>
      </c>
      <c r="AH20" s="245">
        <f t="shared" si="3"/>
        <v>1.94536810116655</v>
      </c>
      <c r="AI20" s="246">
        <f t="shared" si="4"/>
        <v>0.0370147730104091</v>
      </c>
      <c r="AJ20" s="208">
        <f t="shared" si="5"/>
        <v>0.26244303684779</v>
      </c>
      <c r="AK20" s="208">
        <f t="shared" si="6"/>
        <v>0.0244747247001928</v>
      </c>
      <c r="AL20" s="205"/>
      <c r="AM20" s="205"/>
      <c r="AN20" s="205"/>
      <c r="AO20" s="205"/>
      <c r="AP20" s="205"/>
      <c r="AQ20" s="205"/>
      <c r="AR20" s="205"/>
      <c r="AS20" s="205"/>
      <c r="AT20" s="205"/>
      <c r="AU20" s="205"/>
      <c r="AV20" s="205"/>
      <c r="AW20" s="205"/>
      <c r="AX20" s="205"/>
      <c r="AY20" s="205"/>
      <c r="AZ20" s="205"/>
      <c r="BA20" s="205"/>
      <c r="BB20" s="205"/>
      <c r="BC20" s="205"/>
      <c r="BD20" s="205"/>
      <c r="BE20" s="205"/>
      <c r="BF20" s="205"/>
      <c r="BG20" s="205"/>
      <c r="BH20" s="205"/>
    </row>
    <row r="21" ht="14.5" hidden="1" outlineLevel="1" spans="1:60">
      <c r="A21" s="236">
        <v>45494</v>
      </c>
      <c r="B21" s="237">
        <v>54227.93</v>
      </c>
      <c r="C21" s="237">
        <v>794813</v>
      </c>
      <c r="D21" s="238">
        <v>0.033</v>
      </c>
      <c r="E21" s="237">
        <v>26266</v>
      </c>
      <c r="F21" s="239">
        <v>68.23</v>
      </c>
      <c r="G21" s="240">
        <v>1.12</v>
      </c>
      <c r="H21" s="240">
        <v>758</v>
      </c>
      <c r="I21" s="237">
        <v>43410.51</v>
      </c>
      <c r="J21" s="240">
        <v>748</v>
      </c>
      <c r="K21" s="237">
        <v>43073.81</v>
      </c>
      <c r="L21" s="237">
        <v>17062.51</v>
      </c>
      <c r="M21" s="240">
        <v>1.11</v>
      </c>
      <c r="N21" s="239">
        <v>2.06</v>
      </c>
      <c r="O21" s="240">
        <v>747</v>
      </c>
      <c r="P21" s="238">
        <v>0.0284</v>
      </c>
      <c r="Q21" s="240">
        <v>72.59</v>
      </c>
      <c r="R21" s="239">
        <v>57.59</v>
      </c>
      <c r="S21" s="237">
        <v>28628</v>
      </c>
      <c r="T21" s="240">
        <v>0</v>
      </c>
      <c r="U21" s="241">
        <v>0</v>
      </c>
      <c r="V21" s="240">
        <v>0</v>
      </c>
      <c r="W21" s="247">
        <v>5077.14</v>
      </c>
      <c r="X21" s="241">
        <v>0.1179</v>
      </c>
      <c r="Y21" s="241">
        <v>0.8821</v>
      </c>
      <c r="Z21" s="240">
        <v>0.98</v>
      </c>
      <c r="AA21" s="240">
        <v>83.17</v>
      </c>
      <c r="AB21" s="240">
        <v>298</v>
      </c>
      <c r="AC21" s="242">
        <f t="shared" si="0"/>
        <v>181.972919463087</v>
      </c>
      <c r="AD21" s="242"/>
      <c r="AE21" s="205"/>
      <c r="AF21" s="243">
        <f t="shared" si="1"/>
        <v>0.0682272811340529</v>
      </c>
      <c r="AG21" s="244">
        <f t="shared" si="2"/>
        <v>1.89422698057845</v>
      </c>
      <c r="AH21" s="245">
        <f t="shared" si="3"/>
        <v>2.10061198826324</v>
      </c>
      <c r="AI21" s="246">
        <f t="shared" si="4"/>
        <v>0.0360185351774568</v>
      </c>
      <c r="AJ21" s="208">
        <f t="shared" si="5"/>
        <v>0.283730530900461</v>
      </c>
      <c r="AK21" s="208">
        <f t="shared" si="6"/>
        <v>0.0260933351963113</v>
      </c>
      <c r="AL21" s="205"/>
      <c r="AM21" s="205"/>
      <c r="AN21" s="205"/>
      <c r="AO21" s="205"/>
      <c r="AP21" s="205"/>
      <c r="AQ21" s="205"/>
      <c r="AR21" s="205"/>
      <c r="AS21" s="205"/>
      <c r="AT21" s="205"/>
      <c r="AU21" s="205"/>
      <c r="AV21" s="205"/>
      <c r="AW21" s="205"/>
      <c r="AX21" s="205"/>
      <c r="AY21" s="205"/>
      <c r="AZ21" s="205"/>
      <c r="BA21" s="205"/>
      <c r="BB21" s="205"/>
      <c r="BC21" s="205"/>
      <c r="BD21" s="205"/>
      <c r="BE21" s="205"/>
      <c r="BF21" s="205"/>
      <c r="BG21" s="205"/>
      <c r="BH21" s="205"/>
    </row>
    <row r="22" ht="14.5" hidden="1" outlineLevel="1" spans="1:60">
      <c r="A22" s="236">
        <v>45495</v>
      </c>
      <c r="B22" s="237">
        <v>46829.93</v>
      </c>
      <c r="C22" s="237">
        <v>671802</v>
      </c>
      <c r="D22" s="238">
        <v>0.0425</v>
      </c>
      <c r="E22" s="237">
        <v>28539</v>
      </c>
      <c r="F22" s="239">
        <v>69.71</v>
      </c>
      <c r="G22" s="240">
        <v>1.05</v>
      </c>
      <c r="H22" s="240">
        <v>620</v>
      </c>
      <c r="I22" s="237">
        <v>35950</v>
      </c>
      <c r="J22" s="240">
        <v>605</v>
      </c>
      <c r="K22" s="237">
        <v>35492.8</v>
      </c>
      <c r="L22" s="237">
        <v>13379.4</v>
      </c>
      <c r="M22" s="240">
        <v>1.04</v>
      </c>
      <c r="N22" s="239">
        <v>1.64</v>
      </c>
      <c r="O22" s="240">
        <v>600</v>
      </c>
      <c r="P22" s="238">
        <v>0.021</v>
      </c>
      <c r="Q22" s="240">
        <v>78.05</v>
      </c>
      <c r="R22" s="239">
        <v>58.67</v>
      </c>
      <c r="S22" s="237">
        <v>31026</v>
      </c>
      <c r="T22" s="240">
        <v>0</v>
      </c>
      <c r="U22" s="241">
        <v>0</v>
      </c>
      <c r="V22" s="240">
        <v>0</v>
      </c>
      <c r="W22" s="247">
        <v>5163.08</v>
      </c>
      <c r="X22" s="241">
        <v>0.1455</v>
      </c>
      <c r="Y22" s="241">
        <v>0.8545</v>
      </c>
      <c r="Z22" s="240">
        <v>0.89</v>
      </c>
      <c r="AA22" s="240">
        <v>90.93</v>
      </c>
      <c r="AB22" s="240">
        <v>310</v>
      </c>
      <c r="AC22" s="242">
        <f t="shared" si="0"/>
        <v>151.064290322581</v>
      </c>
      <c r="AD22" s="242"/>
      <c r="AE22" s="205"/>
      <c r="AF22" s="243">
        <f t="shared" si="1"/>
        <v>0.069707934778402</v>
      </c>
      <c r="AG22" s="244">
        <f t="shared" si="2"/>
        <v>1.50937697415071</v>
      </c>
      <c r="AH22" s="245">
        <f t="shared" si="3"/>
        <v>1.57520144395024</v>
      </c>
      <c r="AI22" s="246">
        <f t="shared" si="4"/>
        <v>0.0461832504219993</v>
      </c>
      <c r="AJ22" s="208">
        <f t="shared" si="5"/>
        <v>0.273762998187108</v>
      </c>
      <c r="AK22" s="208">
        <f t="shared" si="6"/>
        <v>0.0193386192225875</v>
      </c>
      <c r="AL22" s="205"/>
      <c r="AM22" s="205"/>
      <c r="AN22" s="205"/>
      <c r="AO22" s="205"/>
      <c r="AP22" s="205"/>
      <c r="AQ22" s="205"/>
      <c r="AR22" s="205"/>
      <c r="AS22" s="205"/>
      <c r="AT22" s="205"/>
      <c r="AU22" s="205"/>
      <c r="AV22" s="205"/>
      <c r="AW22" s="205"/>
      <c r="AX22" s="205"/>
      <c r="AY22" s="205"/>
      <c r="AZ22" s="205"/>
      <c r="BA22" s="205"/>
      <c r="BB22" s="205"/>
      <c r="BC22" s="205"/>
      <c r="BD22" s="205"/>
      <c r="BE22" s="205"/>
      <c r="BF22" s="205"/>
      <c r="BG22" s="205"/>
      <c r="BH22" s="205"/>
    </row>
    <row r="23" ht="14.5" hidden="1" outlineLevel="1" spans="1:60">
      <c r="A23" s="236">
        <v>45496</v>
      </c>
      <c r="B23" s="237">
        <v>34116.2</v>
      </c>
      <c r="C23" s="237">
        <v>427585</v>
      </c>
      <c r="D23" s="238">
        <v>0.0488</v>
      </c>
      <c r="E23" s="237">
        <v>20876</v>
      </c>
      <c r="F23" s="239">
        <v>79.79</v>
      </c>
      <c r="G23" s="240">
        <v>1.09</v>
      </c>
      <c r="H23" s="240">
        <v>468</v>
      </c>
      <c r="I23" s="237">
        <v>26454.89</v>
      </c>
      <c r="J23" s="240">
        <v>454</v>
      </c>
      <c r="K23" s="237">
        <v>25928.99</v>
      </c>
      <c r="L23" s="237">
        <v>10580.3</v>
      </c>
      <c r="M23" s="240">
        <v>1.07</v>
      </c>
      <c r="N23" s="239">
        <v>1.63</v>
      </c>
      <c r="O23" s="240">
        <v>450</v>
      </c>
      <c r="P23" s="238">
        <v>0.0216</v>
      </c>
      <c r="Q23" s="240">
        <v>75.81</v>
      </c>
      <c r="R23" s="239">
        <v>57.11</v>
      </c>
      <c r="S23" s="237">
        <v>23196</v>
      </c>
      <c r="T23" s="240">
        <v>0</v>
      </c>
      <c r="U23" s="241">
        <v>0</v>
      </c>
      <c r="V23" s="240">
        <v>0</v>
      </c>
      <c r="W23" s="247">
        <v>3009.86</v>
      </c>
      <c r="X23" s="241">
        <v>0.1161</v>
      </c>
      <c r="Y23" s="241">
        <v>0.8839</v>
      </c>
      <c r="Z23" s="240">
        <v>0.94</v>
      </c>
      <c r="AA23" s="240">
        <v>86.59</v>
      </c>
      <c r="AB23" s="240">
        <v>227</v>
      </c>
      <c r="AC23" s="242">
        <f t="shared" si="0"/>
        <v>150.291629955947</v>
      </c>
      <c r="AD23" s="242"/>
      <c r="AE23" s="205"/>
      <c r="AF23" s="243">
        <f t="shared" si="1"/>
        <v>0.0797881123051557</v>
      </c>
      <c r="AG23" s="244">
        <f t="shared" si="2"/>
        <v>1.47077944473185</v>
      </c>
      <c r="AH23" s="245">
        <f t="shared" si="3"/>
        <v>1.57394766339024</v>
      </c>
      <c r="AI23" s="246">
        <f t="shared" si="4"/>
        <v>0.0542488627992095</v>
      </c>
      <c r="AJ23" s="208">
        <f t="shared" si="5"/>
        <v>0.289797473464973</v>
      </c>
      <c r="AK23" s="208">
        <f t="shared" si="6"/>
        <v>0.0193998965338852</v>
      </c>
      <c r="AL23" s="205"/>
      <c r="AM23" s="205"/>
      <c r="AN23" s="205"/>
      <c r="AO23" s="205"/>
      <c r="AP23" s="205"/>
      <c r="AQ23" s="205"/>
      <c r="AR23" s="205"/>
      <c r="AS23" s="205"/>
      <c r="AT23" s="205"/>
      <c r="AU23" s="205"/>
      <c r="AV23" s="205"/>
      <c r="AW23" s="205"/>
      <c r="AX23" s="205"/>
      <c r="AY23" s="205"/>
      <c r="AZ23" s="205"/>
      <c r="BA23" s="205"/>
      <c r="BB23" s="205"/>
      <c r="BC23" s="205"/>
      <c r="BD23" s="205"/>
      <c r="BE23" s="205"/>
      <c r="BF23" s="205"/>
      <c r="BG23" s="205"/>
      <c r="BH23" s="205"/>
    </row>
    <row r="24" ht="14.5" hidden="1" outlineLevel="1" spans="1:60">
      <c r="A24" s="236">
        <v>45497</v>
      </c>
      <c r="B24" s="237">
        <v>25385.6</v>
      </c>
      <c r="C24" s="237">
        <v>266232</v>
      </c>
      <c r="D24" s="238">
        <v>0.0497</v>
      </c>
      <c r="E24" s="237">
        <v>13233</v>
      </c>
      <c r="F24" s="239">
        <v>95.35</v>
      </c>
      <c r="G24" s="240">
        <v>1.21</v>
      </c>
      <c r="H24" s="240">
        <v>389</v>
      </c>
      <c r="I24" s="237">
        <v>21665.01</v>
      </c>
      <c r="J24" s="240">
        <v>377</v>
      </c>
      <c r="K24" s="237">
        <v>21240.51</v>
      </c>
      <c r="L24" s="237">
        <v>9123.03</v>
      </c>
      <c r="M24" s="240">
        <v>1.2</v>
      </c>
      <c r="N24" s="239">
        <v>1.92</v>
      </c>
      <c r="O24" s="240">
        <v>371</v>
      </c>
      <c r="P24" s="238">
        <v>0.028</v>
      </c>
      <c r="Q24" s="240">
        <v>68.42</v>
      </c>
      <c r="R24" s="239">
        <v>56.34</v>
      </c>
      <c r="S24" s="237">
        <v>14333</v>
      </c>
      <c r="T24" s="240">
        <v>0</v>
      </c>
      <c r="U24" s="241">
        <v>0</v>
      </c>
      <c r="V24" s="240">
        <v>0</v>
      </c>
      <c r="W24" s="247">
        <v>2730.69</v>
      </c>
      <c r="X24" s="241">
        <v>0.1286</v>
      </c>
      <c r="Y24" s="241">
        <v>0.8714</v>
      </c>
      <c r="Z24" s="240">
        <v>1.04</v>
      </c>
      <c r="AA24" s="240">
        <v>78.59</v>
      </c>
      <c r="AB24" s="240">
        <v>134</v>
      </c>
      <c r="AC24" s="242">
        <f t="shared" si="0"/>
        <v>189.444776119403</v>
      </c>
      <c r="AD24" s="242"/>
      <c r="AE24" s="205"/>
      <c r="AF24" s="243">
        <f t="shared" si="1"/>
        <v>0.0953514228191953</v>
      </c>
      <c r="AG24" s="244">
        <f t="shared" si="2"/>
        <v>1.77112956115258</v>
      </c>
      <c r="AH24" s="245">
        <f t="shared" si="3"/>
        <v>2.11843577757622</v>
      </c>
      <c r="AI24" s="246">
        <f t="shared" si="4"/>
        <v>0.0538365035007062</v>
      </c>
      <c r="AJ24" s="208">
        <f t="shared" si="5"/>
        <v>0.300460025412057</v>
      </c>
      <c r="AK24" s="208">
        <f t="shared" si="6"/>
        <v>0.02588432289123</v>
      </c>
      <c r="AL24" s="205"/>
      <c r="AM24" s="205"/>
      <c r="AN24" s="205"/>
      <c r="AO24" s="205"/>
      <c r="AP24" s="205"/>
      <c r="AQ24" s="205"/>
      <c r="AR24" s="205"/>
      <c r="AS24" s="205"/>
      <c r="AT24" s="205"/>
      <c r="AU24" s="205"/>
      <c r="AV24" s="205"/>
      <c r="AW24" s="205"/>
      <c r="AX24" s="205"/>
      <c r="AY24" s="205"/>
      <c r="AZ24" s="205"/>
      <c r="BA24" s="205"/>
      <c r="BB24" s="205"/>
      <c r="BC24" s="205"/>
      <c r="BD24" s="205"/>
      <c r="BE24" s="205"/>
      <c r="BF24" s="205"/>
      <c r="BG24" s="205"/>
      <c r="BH24" s="205"/>
    </row>
    <row r="25" ht="14.5" hidden="1" outlineLevel="1" spans="1:60">
      <c r="A25" s="236">
        <v>45498</v>
      </c>
      <c r="B25" s="237">
        <v>17794.57</v>
      </c>
      <c r="C25" s="237">
        <v>185132</v>
      </c>
      <c r="D25" s="238">
        <v>0.0501</v>
      </c>
      <c r="E25" s="237">
        <v>9284</v>
      </c>
      <c r="F25" s="239">
        <v>96.12</v>
      </c>
      <c r="G25" s="240">
        <v>1.15</v>
      </c>
      <c r="H25" s="240">
        <v>258</v>
      </c>
      <c r="I25" s="237">
        <v>14128.97</v>
      </c>
      <c r="J25" s="240">
        <v>250</v>
      </c>
      <c r="K25" s="237">
        <v>13749.77</v>
      </c>
      <c r="L25" s="237">
        <v>6286.14</v>
      </c>
      <c r="M25" s="240">
        <v>1.13</v>
      </c>
      <c r="N25" s="239">
        <v>1.92</v>
      </c>
      <c r="O25" s="240">
        <v>250</v>
      </c>
      <c r="P25" s="238">
        <v>0.0269</v>
      </c>
      <c r="Q25" s="240">
        <v>71.18</v>
      </c>
      <c r="R25" s="239">
        <v>55</v>
      </c>
      <c r="S25" s="237">
        <v>10289</v>
      </c>
      <c r="T25" s="240">
        <v>0</v>
      </c>
      <c r="U25" s="241">
        <v>0</v>
      </c>
      <c r="V25" s="240">
        <v>0</v>
      </c>
      <c r="W25" s="247">
        <v>1364.69</v>
      </c>
      <c r="X25" s="241">
        <v>0.0993</v>
      </c>
      <c r="Y25" s="241">
        <v>0.9007</v>
      </c>
      <c r="Z25" s="240">
        <v>1.01</v>
      </c>
      <c r="AA25" s="240">
        <v>80.52</v>
      </c>
      <c r="AB25" s="240">
        <v>82</v>
      </c>
      <c r="AC25" s="242">
        <f t="shared" si="0"/>
        <v>217.006951219512</v>
      </c>
      <c r="AD25" s="242"/>
      <c r="AE25" s="205"/>
      <c r="AF25" s="243">
        <f t="shared" si="1"/>
        <v>0.0961182831709267</v>
      </c>
      <c r="AG25" s="244">
        <f t="shared" si="2"/>
        <v>1.72947516765478</v>
      </c>
      <c r="AH25" s="245">
        <f t="shared" si="3"/>
        <v>1.94731363592186</v>
      </c>
      <c r="AI25" s="246">
        <f t="shared" si="4"/>
        <v>0.0555765615884882</v>
      </c>
      <c r="AJ25" s="208">
        <f t="shared" si="5"/>
        <v>0.313743673234707</v>
      </c>
      <c r="AK25" s="208">
        <f t="shared" si="6"/>
        <v>0.0242977937603266</v>
      </c>
      <c r="AL25" s="205"/>
      <c r="AM25" s="205"/>
      <c r="AN25" s="205"/>
      <c r="AO25" s="205"/>
      <c r="AP25" s="205"/>
      <c r="AQ25" s="205"/>
      <c r="AR25" s="205"/>
      <c r="AS25" s="205"/>
      <c r="AT25" s="205"/>
      <c r="AU25" s="205"/>
      <c r="AV25" s="205"/>
      <c r="AW25" s="205"/>
      <c r="AX25" s="205"/>
      <c r="AY25" s="205"/>
      <c r="AZ25" s="205"/>
      <c r="BA25" s="205"/>
      <c r="BB25" s="205"/>
      <c r="BC25" s="205"/>
      <c r="BD25" s="205"/>
      <c r="BE25" s="205"/>
      <c r="BF25" s="205"/>
      <c r="BG25" s="205"/>
      <c r="BH25" s="205"/>
    </row>
    <row r="26" ht="14.5" hidden="1" outlineLevel="1" spans="1:60">
      <c r="A26" s="236">
        <v>45499</v>
      </c>
      <c r="B26" s="237">
        <v>0</v>
      </c>
      <c r="C26" s="237">
        <v>694</v>
      </c>
      <c r="D26" s="238">
        <v>0.0014</v>
      </c>
      <c r="E26" s="237">
        <v>1</v>
      </c>
      <c r="F26" s="239">
        <v>0</v>
      </c>
      <c r="G26" s="240">
        <v>0</v>
      </c>
      <c r="H26" s="240">
        <v>0</v>
      </c>
      <c r="I26" s="237">
        <v>0</v>
      </c>
      <c r="J26" s="240">
        <v>0</v>
      </c>
      <c r="K26" s="237">
        <v>0</v>
      </c>
      <c r="L26" s="237">
        <v>0</v>
      </c>
      <c r="M26" s="240">
        <v>0</v>
      </c>
      <c r="N26" s="239">
        <v>0</v>
      </c>
      <c r="O26" s="240">
        <v>0</v>
      </c>
      <c r="P26" s="238">
        <v>0</v>
      </c>
      <c r="Q26" s="240">
        <v>0</v>
      </c>
      <c r="R26" s="239">
        <v>0</v>
      </c>
      <c r="S26" s="237">
        <v>409</v>
      </c>
      <c r="T26" s="240">
        <v>0</v>
      </c>
      <c r="U26" s="241">
        <v>0</v>
      </c>
      <c r="V26" s="240">
        <v>0</v>
      </c>
      <c r="W26" s="240">
        <v>0</v>
      </c>
      <c r="X26" s="241">
        <v>0</v>
      </c>
      <c r="Y26" s="241">
        <v>0</v>
      </c>
      <c r="Z26" s="240">
        <v>0</v>
      </c>
      <c r="AA26" s="240">
        <v>0</v>
      </c>
      <c r="AB26" s="240">
        <v>4</v>
      </c>
      <c r="AC26" s="242">
        <f t="shared" si="0"/>
        <v>0</v>
      </c>
      <c r="AD26" s="242"/>
      <c r="AE26" s="205"/>
      <c r="AF26" s="243">
        <f t="shared" si="1"/>
        <v>0</v>
      </c>
      <c r="AG26" s="244">
        <f t="shared" si="2"/>
        <v>0</v>
      </c>
      <c r="AH26" s="245">
        <f t="shared" si="3"/>
        <v>0</v>
      </c>
      <c r="AI26" s="246">
        <f t="shared" si="4"/>
        <v>0.589337175792507</v>
      </c>
      <c r="AJ26" s="208" t="e">
        <f t="shared" si="5"/>
        <v>#DIV/0!</v>
      </c>
      <c r="AK26" s="208">
        <f t="shared" si="6"/>
        <v>0</v>
      </c>
      <c r="AL26" s="205"/>
      <c r="AM26" s="205"/>
      <c r="AN26" s="205"/>
      <c r="AO26" s="205"/>
      <c r="AP26" s="205"/>
      <c r="AQ26" s="205"/>
      <c r="AR26" s="205"/>
      <c r="AS26" s="205"/>
      <c r="AT26" s="205"/>
      <c r="AU26" s="205"/>
      <c r="AV26" s="205"/>
      <c r="AW26" s="205"/>
      <c r="AX26" s="205"/>
      <c r="AY26" s="205"/>
      <c r="AZ26" s="205"/>
      <c r="BA26" s="205"/>
      <c r="BB26" s="205"/>
      <c r="BC26" s="205"/>
      <c r="BD26" s="205"/>
      <c r="BE26" s="205"/>
      <c r="BF26" s="205"/>
      <c r="BG26" s="205"/>
      <c r="BH26" s="205"/>
    </row>
    <row r="27" ht="14.5" hidden="1" outlineLevel="1" spans="1:60">
      <c r="A27" s="236">
        <v>45500</v>
      </c>
      <c r="B27" s="237">
        <v>0</v>
      </c>
      <c r="C27" s="237">
        <v>535</v>
      </c>
      <c r="D27" s="238">
        <v>0</v>
      </c>
      <c r="E27" s="237">
        <v>0</v>
      </c>
      <c r="F27" s="239">
        <v>0</v>
      </c>
      <c r="G27" s="240">
        <v>0</v>
      </c>
      <c r="H27" s="240">
        <v>0</v>
      </c>
      <c r="I27" s="237">
        <v>0</v>
      </c>
      <c r="J27" s="240">
        <v>0</v>
      </c>
      <c r="K27" s="237">
        <v>0</v>
      </c>
      <c r="L27" s="237">
        <v>0</v>
      </c>
      <c r="M27" s="240">
        <v>0</v>
      </c>
      <c r="N27" s="239">
        <v>0</v>
      </c>
      <c r="O27" s="240">
        <v>0</v>
      </c>
      <c r="P27" s="238">
        <v>0</v>
      </c>
      <c r="Q27" s="240">
        <v>0</v>
      </c>
      <c r="R27" s="239">
        <v>0</v>
      </c>
      <c r="S27" s="237">
        <v>333</v>
      </c>
      <c r="T27" s="240">
        <v>0</v>
      </c>
      <c r="U27" s="241">
        <v>0</v>
      </c>
      <c r="V27" s="240">
        <v>0</v>
      </c>
      <c r="W27" s="240">
        <v>0</v>
      </c>
      <c r="X27" s="241">
        <v>0</v>
      </c>
      <c r="Y27" s="241">
        <v>0</v>
      </c>
      <c r="Z27" s="240">
        <v>0</v>
      </c>
      <c r="AA27" s="240">
        <v>0</v>
      </c>
      <c r="AB27" s="240">
        <v>1</v>
      </c>
      <c r="AC27" s="242">
        <f t="shared" si="0"/>
        <v>0</v>
      </c>
      <c r="AD27" s="242"/>
      <c r="AE27" s="205"/>
      <c r="AF27" s="243">
        <f t="shared" si="1"/>
        <v>0</v>
      </c>
      <c r="AG27" s="244">
        <f t="shared" si="2"/>
        <v>0</v>
      </c>
      <c r="AH27" s="245">
        <f t="shared" si="3"/>
        <v>0</v>
      </c>
      <c r="AI27" s="246">
        <f t="shared" si="4"/>
        <v>0.622429906542056</v>
      </c>
      <c r="AJ27" s="208" t="e">
        <f t="shared" si="5"/>
        <v>#DIV/0!</v>
      </c>
      <c r="AK27" s="208">
        <f t="shared" si="6"/>
        <v>0</v>
      </c>
      <c r="AL27" s="205"/>
      <c r="AM27" s="205"/>
      <c r="AN27" s="205"/>
      <c r="AO27" s="205"/>
      <c r="AP27" s="205"/>
      <c r="AQ27" s="205"/>
      <c r="AR27" s="205"/>
      <c r="AS27" s="205"/>
      <c r="AT27" s="205"/>
      <c r="AU27" s="205"/>
      <c r="AV27" s="205"/>
      <c r="AW27" s="205"/>
      <c r="AX27" s="205"/>
      <c r="AY27" s="205"/>
      <c r="AZ27" s="205"/>
      <c r="BA27" s="205"/>
      <c r="BB27" s="205"/>
      <c r="BC27" s="205"/>
      <c r="BD27" s="205"/>
      <c r="BE27" s="205"/>
      <c r="BF27" s="205"/>
      <c r="BG27" s="205"/>
      <c r="BH27" s="205"/>
    </row>
    <row r="28" ht="14.5" hidden="1" outlineLevel="1" spans="1:60">
      <c r="A28" s="236">
        <v>45501</v>
      </c>
      <c r="B28" s="237">
        <v>0</v>
      </c>
      <c r="C28" s="237">
        <v>453</v>
      </c>
      <c r="D28" s="238">
        <v>0</v>
      </c>
      <c r="E28" s="237">
        <v>0</v>
      </c>
      <c r="F28" s="239">
        <v>0</v>
      </c>
      <c r="G28" s="240">
        <v>0</v>
      </c>
      <c r="H28" s="240">
        <v>0</v>
      </c>
      <c r="I28" s="237">
        <v>0</v>
      </c>
      <c r="J28" s="240">
        <v>0</v>
      </c>
      <c r="K28" s="237">
        <v>0</v>
      </c>
      <c r="L28" s="237">
        <v>0</v>
      </c>
      <c r="M28" s="240">
        <v>0</v>
      </c>
      <c r="N28" s="239">
        <v>0</v>
      </c>
      <c r="O28" s="240">
        <v>0</v>
      </c>
      <c r="P28" s="238">
        <v>0</v>
      </c>
      <c r="Q28" s="240">
        <v>0</v>
      </c>
      <c r="R28" s="239">
        <v>0</v>
      </c>
      <c r="S28" s="237">
        <v>240</v>
      </c>
      <c r="T28" s="240">
        <v>0</v>
      </c>
      <c r="U28" s="241">
        <v>0</v>
      </c>
      <c r="V28" s="240">
        <v>0</v>
      </c>
      <c r="W28" s="240">
        <v>0</v>
      </c>
      <c r="X28" s="241">
        <v>0</v>
      </c>
      <c r="Y28" s="241">
        <v>0</v>
      </c>
      <c r="Z28" s="240">
        <v>0</v>
      </c>
      <c r="AA28" s="240">
        <v>0</v>
      </c>
      <c r="AB28" s="240">
        <v>2</v>
      </c>
      <c r="AC28" s="242">
        <f t="shared" si="0"/>
        <v>0</v>
      </c>
      <c r="AD28" s="242"/>
      <c r="AE28" s="205"/>
      <c r="AF28" s="243">
        <f t="shared" si="1"/>
        <v>0</v>
      </c>
      <c r="AG28" s="244">
        <f t="shared" si="2"/>
        <v>0</v>
      </c>
      <c r="AH28" s="245">
        <f t="shared" si="3"/>
        <v>0</v>
      </c>
      <c r="AI28" s="246">
        <f t="shared" si="4"/>
        <v>0.529801324503311</v>
      </c>
      <c r="AJ28" s="208" t="e">
        <f t="shared" si="5"/>
        <v>#DIV/0!</v>
      </c>
      <c r="AK28" s="208">
        <f t="shared" si="6"/>
        <v>0</v>
      </c>
      <c r="AL28" s="205"/>
      <c r="AM28" s="205"/>
      <c r="AN28" s="205"/>
      <c r="AO28" s="205"/>
      <c r="AP28" s="205"/>
      <c r="AQ28" s="205"/>
      <c r="AR28" s="205"/>
      <c r="AS28" s="205"/>
      <c r="AT28" s="205"/>
      <c r="AU28" s="205"/>
      <c r="AV28" s="205"/>
      <c r="AW28" s="205"/>
      <c r="AX28" s="205"/>
      <c r="AY28" s="205"/>
      <c r="AZ28" s="205"/>
      <c r="BA28" s="205"/>
      <c r="BB28" s="205"/>
      <c r="BC28" s="205"/>
      <c r="BD28" s="205"/>
      <c r="BE28" s="205"/>
      <c r="BF28" s="205"/>
      <c r="BG28" s="205"/>
      <c r="BH28" s="205"/>
    </row>
    <row r="29" ht="14.5" hidden="1" outlineLevel="1" spans="1:60">
      <c r="A29" s="236">
        <v>45502</v>
      </c>
      <c r="B29" s="237">
        <v>0</v>
      </c>
      <c r="C29" s="237">
        <v>317</v>
      </c>
      <c r="D29" s="238">
        <v>0</v>
      </c>
      <c r="E29" s="237">
        <v>0</v>
      </c>
      <c r="F29" s="239">
        <v>0</v>
      </c>
      <c r="G29" s="240">
        <v>0</v>
      </c>
      <c r="H29" s="240">
        <v>0</v>
      </c>
      <c r="I29" s="237">
        <v>0</v>
      </c>
      <c r="J29" s="240">
        <v>0</v>
      </c>
      <c r="K29" s="237">
        <v>0</v>
      </c>
      <c r="L29" s="237">
        <v>0</v>
      </c>
      <c r="M29" s="240">
        <v>0</v>
      </c>
      <c r="N29" s="239">
        <v>0</v>
      </c>
      <c r="O29" s="240">
        <v>0</v>
      </c>
      <c r="P29" s="238">
        <v>0</v>
      </c>
      <c r="Q29" s="240">
        <v>0</v>
      </c>
      <c r="R29" s="239">
        <v>0</v>
      </c>
      <c r="S29" s="237">
        <v>123</v>
      </c>
      <c r="T29" s="240">
        <v>0</v>
      </c>
      <c r="U29" s="241">
        <v>0</v>
      </c>
      <c r="V29" s="240">
        <v>0</v>
      </c>
      <c r="W29" s="240">
        <v>0</v>
      </c>
      <c r="X29" s="241">
        <v>0</v>
      </c>
      <c r="Y29" s="241">
        <v>0</v>
      </c>
      <c r="Z29" s="240">
        <v>0</v>
      </c>
      <c r="AA29" s="240">
        <v>0</v>
      </c>
      <c r="AB29" s="240">
        <v>0</v>
      </c>
      <c r="AC29" s="248" t="e">
        <f t="shared" si="0"/>
        <v>#DIV/0!</v>
      </c>
      <c r="AD29" s="248"/>
      <c r="AE29" s="205"/>
      <c r="AF29" s="243">
        <f t="shared" si="1"/>
        <v>0</v>
      </c>
      <c r="AG29" s="244">
        <f t="shared" si="2"/>
        <v>0</v>
      </c>
      <c r="AH29" s="245">
        <f t="shared" si="3"/>
        <v>0</v>
      </c>
      <c r="AI29" s="246">
        <f t="shared" si="4"/>
        <v>0.38801261829653</v>
      </c>
      <c r="AJ29" s="208" t="e">
        <f t="shared" si="5"/>
        <v>#DIV/0!</v>
      </c>
      <c r="AK29" s="208">
        <f t="shared" si="6"/>
        <v>0</v>
      </c>
      <c r="AL29" s="205"/>
      <c r="AM29" s="205"/>
      <c r="AN29" s="205"/>
      <c r="AO29" s="205"/>
      <c r="AP29" s="205"/>
      <c r="AQ29" s="205"/>
      <c r="AR29" s="205"/>
      <c r="AS29" s="205"/>
      <c r="AT29" s="205"/>
      <c r="AU29" s="205"/>
      <c r="AV29" s="205"/>
      <c r="AW29" s="205"/>
      <c r="AX29" s="205"/>
      <c r="AY29" s="205"/>
      <c r="AZ29" s="205"/>
      <c r="BA29" s="205"/>
      <c r="BB29" s="205"/>
      <c r="BC29" s="205"/>
      <c r="BD29" s="205"/>
      <c r="BE29" s="205"/>
      <c r="BF29" s="205"/>
      <c r="BG29" s="205"/>
      <c r="BH29" s="205"/>
    </row>
    <row r="30" ht="14.5" hidden="1" outlineLevel="1" spans="1:60">
      <c r="A30" s="236">
        <v>45503</v>
      </c>
      <c r="B30" s="237">
        <v>44332.69</v>
      </c>
      <c r="C30" s="237">
        <v>431087</v>
      </c>
      <c r="D30" s="238">
        <v>0.0332</v>
      </c>
      <c r="E30" s="237">
        <v>14313</v>
      </c>
      <c r="F30" s="239">
        <v>102.84</v>
      </c>
      <c r="G30" s="240">
        <v>1.14</v>
      </c>
      <c r="H30" s="240">
        <v>636</v>
      </c>
      <c r="I30" s="237">
        <v>32822.63</v>
      </c>
      <c r="J30" s="240">
        <v>630</v>
      </c>
      <c r="K30" s="237">
        <v>32514.53</v>
      </c>
      <c r="L30" s="237">
        <v>17876.01</v>
      </c>
      <c r="M30" s="240">
        <v>1.14</v>
      </c>
      <c r="N30" s="239">
        <v>3.1</v>
      </c>
      <c r="O30" s="240">
        <v>629</v>
      </c>
      <c r="P30" s="238">
        <v>0.0439</v>
      </c>
      <c r="Q30" s="240">
        <v>70.48</v>
      </c>
      <c r="R30" s="239">
        <v>51.61</v>
      </c>
      <c r="S30" s="237">
        <v>15343</v>
      </c>
      <c r="T30" s="240">
        <v>0</v>
      </c>
      <c r="U30" s="241">
        <v>0</v>
      </c>
      <c r="V30" s="240">
        <v>0</v>
      </c>
      <c r="W30" s="247">
        <v>4271.92</v>
      </c>
      <c r="X30" s="241">
        <v>0.1314</v>
      </c>
      <c r="Y30" s="241">
        <v>0.8686</v>
      </c>
      <c r="Z30" s="240">
        <v>0.98</v>
      </c>
      <c r="AA30" s="240">
        <v>81.95</v>
      </c>
      <c r="AB30" s="240">
        <v>230</v>
      </c>
      <c r="AC30" s="242">
        <f t="shared" si="0"/>
        <v>192.750826086957</v>
      </c>
      <c r="AD30" s="242"/>
      <c r="AE30" s="205"/>
      <c r="AF30" s="243">
        <f t="shared" si="1"/>
        <v>0.102839310858365</v>
      </c>
      <c r="AG30" s="244">
        <f t="shared" si="2"/>
        <v>2.88944078732973</v>
      </c>
      <c r="AH30" s="245">
        <f t="shared" si="3"/>
        <v>3.28426904777423</v>
      </c>
      <c r="AI30" s="246">
        <f t="shared" si="4"/>
        <v>0.0355914235409558</v>
      </c>
      <c r="AJ30" s="208">
        <f t="shared" si="5"/>
        <v>0.354749323980255</v>
      </c>
      <c r="AK30" s="208">
        <f t="shared" si="6"/>
        <v>0.0409958938929805</v>
      </c>
      <c r="AL30" s="205"/>
      <c r="AM30" s="205"/>
      <c r="AN30" s="205"/>
      <c r="AO30" s="205"/>
      <c r="AP30" s="205"/>
      <c r="AQ30" s="205"/>
      <c r="AR30" s="205"/>
      <c r="AS30" s="205"/>
      <c r="AT30" s="205"/>
      <c r="AU30" s="205"/>
      <c r="AV30" s="205"/>
      <c r="AW30" s="205"/>
      <c r="AX30" s="205"/>
      <c r="AY30" s="205"/>
      <c r="AZ30" s="205"/>
      <c r="BA30" s="205"/>
      <c r="BB30" s="205"/>
      <c r="BC30" s="205"/>
      <c r="BD30" s="205"/>
      <c r="BE30" s="205"/>
      <c r="BF30" s="205"/>
      <c r="BG30" s="205"/>
      <c r="BH30" s="205"/>
    </row>
    <row r="31" ht="14.5" hidden="1" outlineLevel="1" spans="1:60">
      <c r="A31" s="236">
        <v>45504</v>
      </c>
      <c r="B31" s="237">
        <v>23709.37</v>
      </c>
      <c r="C31" s="237">
        <v>188999</v>
      </c>
      <c r="D31" s="238">
        <v>0.0384</v>
      </c>
      <c r="E31" s="237">
        <v>7267</v>
      </c>
      <c r="F31" s="239">
        <v>125.45</v>
      </c>
      <c r="G31" s="240">
        <v>1.01</v>
      </c>
      <c r="H31" s="240">
        <v>301</v>
      </c>
      <c r="I31" s="237">
        <v>15909.68</v>
      </c>
      <c r="J31" s="240">
        <v>297</v>
      </c>
      <c r="K31" s="237">
        <v>15818.78</v>
      </c>
      <c r="L31" s="237">
        <v>8043.02</v>
      </c>
      <c r="M31" s="240">
        <v>1.01</v>
      </c>
      <c r="N31" s="239">
        <v>3.26</v>
      </c>
      <c r="O31" s="240">
        <v>296</v>
      </c>
      <c r="P31" s="238">
        <v>0.0407</v>
      </c>
      <c r="Q31" s="240">
        <v>80.1</v>
      </c>
      <c r="R31" s="239">
        <v>53.26</v>
      </c>
      <c r="S31" s="237">
        <v>7877</v>
      </c>
      <c r="T31" s="240">
        <v>0</v>
      </c>
      <c r="U31" s="241">
        <v>0</v>
      </c>
      <c r="V31" s="240">
        <v>0</v>
      </c>
      <c r="W31" s="247">
        <v>1921.8</v>
      </c>
      <c r="X31" s="241">
        <v>0.1215</v>
      </c>
      <c r="Y31" s="241">
        <v>0.8785</v>
      </c>
      <c r="Z31" s="240">
        <v>0.88</v>
      </c>
      <c r="AA31" s="240">
        <v>92.98</v>
      </c>
      <c r="AB31" s="240">
        <v>96</v>
      </c>
      <c r="AC31" s="242">
        <f t="shared" si="0"/>
        <v>246.972604166667</v>
      </c>
      <c r="AD31" s="242"/>
      <c r="AE31" s="205"/>
      <c r="AF31" s="243">
        <f t="shared" si="1"/>
        <v>0.125447065857491</v>
      </c>
      <c r="AG31" s="244">
        <f t="shared" si="2"/>
        <v>3.00994921924591</v>
      </c>
      <c r="AH31" s="245">
        <f t="shared" si="3"/>
        <v>3.02930049511235</v>
      </c>
      <c r="AI31" s="246">
        <f t="shared" si="4"/>
        <v>0.0416774691929587</v>
      </c>
      <c r="AJ31" s="208">
        <f t="shared" si="5"/>
        <v>0.337066776186206</v>
      </c>
      <c r="AK31" s="208">
        <f t="shared" si="6"/>
        <v>0.0375777580297067</v>
      </c>
      <c r="AL31" s="205"/>
      <c r="AM31" s="205"/>
      <c r="AN31" s="205"/>
      <c r="AO31" s="205"/>
      <c r="AP31" s="205"/>
      <c r="AQ31" s="205"/>
      <c r="AR31" s="205"/>
      <c r="AS31" s="205"/>
      <c r="AT31" s="205"/>
      <c r="AU31" s="205"/>
      <c r="AV31" s="205"/>
      <c r="AW31" s="205"/>
      <c r="AX31" s="205"/>
      <c r="AY31" s="205"/>
      <c r="AZ31" s="205"/>
      <c r="BA31" s="205"/>
      <c r="BB31" s="205"/>
      <c r="BC31" s="205"/>
      <c r="BD31" s="205"/>
      <c r="BE31" s="205"/>
      <c r="BF31" s="205"/>
      <c r="BG31" s="205"/>
      <c r="BH31" s="205"/>
    </row>
    <row r="32" ht="14.5" collapsed="1" spans="1:60">
      <c r="A32" s="236">
        <v>45505</v>
      </c>
      <c r="B32" s="102">
        <v>21600.16</v>
      </c>
      <c r="C32" s="102">
        <v>206272</v>
      </c>
      <c r="D32" s="249">
        <v>0.0372</v>
      </c>
      <c r="E32" s="102">
        <v>7677</v>
      </c>
      <c r="F32" s="250">
        <v>104.72</v>
      </c>
      <c r="G32" s="251">
        <v>1.16</v>
      </c>
      <c r="H32" s="251">
        <v>320</v>
      </c>
      <c r="I32" s="102">
        <v>16664.13</v>
      </c>
      <c r="J32" s="251">
        <v>310</v>
      </c>
      <c r="K32" s="102">
        <v>16426.23</v>
      </c>
      <c r="L32" s="102">
        <v>8411.96</v>
      </c>
      <c r="M32" s="251">
        <v>1.15</v>
      </c>
      <c r="N32" s="250">
        <v>2.81</v>
      </c>
      <c r="O32" s="251">
        <v>308</v>
      </c>
      <c r="P32" s="249">
        <v>0.0401</v>
      </c>
      <c r="Q32" s="251">
        <v>70.13</v>
      </c>
      <c r="R32" s="250">
        <v>52.99</v>
      </c>
      <c r="S32" s="102">
        <v>8352</v>
      </c>
      <c r="T32" s="251">
        <v>0</v>
      </c>
      <c r="U32" s="252">
        <v>0</v>
      </c>
      <c r="V32" s="251">
        <v>0</v>
      </c>
      <c r="W32" s="253">
        <v>2144.5</v>
      </c>
      <c r="X32" s="252">
        <v>0.1306</v>
      </c>
      <c r="Y32" s="252">
        <v>0.8694</v>
      </c>
      <c r="Z32" s="251">
        <v>1</v>
      </c>
      <c r="AA32" s="251">
        <v>81.2</v>
      </c>
      <c r="AB32" s="251">
        <v>108</v>
      </c>
      <c r="AC32" s="242">
        <f t="shared" ref="AC32:AC63" si="7">B32/AB32</f>
        <v>200.001481481481</v>
      </c>
      <c r="AD32" s="242"/>
      <c r="AE32" s="205"/>
      <c r="AF32" s="243">
        <f t="shared" ref="AF32:AF63" si="8">B32/C32</f>
        <v>0.104716878684455</v>
      </c>
      <c r="AG32" s="244">
        <f t="shared" ref="AG32:AG63" si="9">B32/S32</f>
        <v>2.58622605363985</v>
      </c>
      <c r="AH32" s="245">
        <f t="shared" ref="AH32:AH63" si="10">(K32+L32)/S32</f>
        <v>2.9739212164751</v>
      </c>
      <c r="AI32" s="246">
        <f t="shared" ref="AI32:AI63" si="11">S32/C32</f>
        <v>0.0404902264970524</v>
      </c>
      <c r="AJ32" s="208">
        <f t="shared" ref="AJ32:AJ63" si="12">L32/(K32+L32)</f>
        <v>0.33867041036404</v>
      </c>
      <c r="AK32" s="208" t="e" cm="1">
        <f t="array" ref="AK32">O32/·S32</f>
        <v>#NAME?</v>
      </c>
      <c r="AL32" s="205"/>
      <c r="AM32" s="205"/>
      <c r="AN32" s="205"/>
      <c r="AO32" s="205"/>
      <c r="AP32" s="205"/>
      <c r="AQ32" s="205"/>
      <c r="AR32" s="205"/>
      <c r="AS32" s="205"/>
      <c r="AT32" s="205"/>
      <c r="AU32" s="205"/>
      <c r="AV32" s="205"/>
      <c r="AW32" s="205"/>
      <c r="AX32" s="205"/>
      <c r="AY32" s="205"/>
      <c r="AZ32" s="205"/>
      <c r="BA32" s="205"/>
      <c r="BB32" s="205"/>
      <c r="BC32" s="205"/>
      <c r="BD32" s="205"/>
      <c r="BE32" s="205"/>
      <c r="BF32" s="205"/>
      <c r="BG32" s="205"/>
      <c r="BH32" s="205"/>
    </row>
    <row r="33" ht="14.5" hidden="1" outlineLevel="1" spans="1:60">
      <c r="A33" s="236">
        <v>45506</v>
      </c>
      <c r="B33" s="102">
        <v>38257.64</v>
      </c>
      <c r="C33" s="102">
        <v>376011</v>
      </c>
      <c r="D33" s="249">
        <v>0.0375</v>
      </c>
      <c r="E33" s="102">
        <v>14098</v>
      </c>
      <c r="F33" s="250">
        <v>101.75</v>
      </c>
      <c r="G33" s="251">
        <v>1.23</v>
      </c>
      <c r="H33" s="251">
        <v>595</v>
      </c>
      <c r="I33" s="102">
        <v>31440.84</v>
      </c>
      <c r="J33" s="251">
        <v>585</v>
      </c>
      <c r="K33" s="102">
        <v>30979.73</v>
      </c>
      <c r="L33" s="102">
        <v>15780.12</v>
      </c>
      <c r="M33" s="251">
        <v>1.22</v>
      </c>
      <c r="N33" s="250">
        <v>2.71</v>
      </c>
      <c r="O33" s="254">
        <v>1437</v>
      </c>
      <c r="P33" s="249">
        <v>0.1019</v>
      </c>
      <c r="Q33" s="251">
        <v>26.62</v>
      </c>
      <c r="R33" s="250">
        <v>52.96</v>
      </c>
      <c r="S33" s="102">
        <v>15480</v>
      </c>
      <c r="T33" s="251">
        <v>860</v>
      </c>
      <c r="U33" s="252">
        <v>0.4639</v>
      </c>
      <c r="V33" s="251">
        <v>0.83</v>
      </c>
      <c r="W33" s="253">
        <v>4115.34</v>
      </c>
      <c r="X33" s="252">
        <v>0.1328</v>
      </c>
      <c r="Y33" s="252">
        <v>0.8672</v>
      </c>
      <c r="Z33" s="251">
        <v>1.06</v>
      </c>
      <c r="AA33" s="251">
        <v>77.13</v>
      </c>
      <c r="AB33" s="251">
        <v>210</v>
      </c>
      <c r="AC33" s="242">
        <f t="shared" si="7"/>
        <v>182.179238095238</v>
      </c>
      <c r="AD33" s="242"/>
      <c r="AE33" s="205"/>
      <c r="AF33" s="243">
        <f t="shared" si="8"/>
        <v>0.10174606593956</v>
      </c>
      <c r="AG33" s="244">
        <f t="shared" si="9"/>
        <v>2.47142377260982</v>
      </c>
      <c r="AH33" s="245">
        <f t="shared" si="10"/>
        <v>3.02066214470284</v>
      </c>
      <c r="AI33" s="246">
        <f t="shared" si="11"/>
        <v>0.041169008353479</v>
      </c>
      <c r="AJ33" s="208">
        <f t="shared" si="12"/>
        <v>0.337471570161153</v>
      </c>
      <c r="AK33" s="208">
        <f t="shared" si="6"/>
        <v>0.0928294573643411</v>
      </c>
      <c r="AL33" s="205"/>
      <c r="AM33" s="205"/>
      <c r="AN33" s="205"/>
      <c r="AO33" s="205"/>
      <c r="AP33" s="205"/>
      <c r="AQ33" s="205"/>
      <c r="AR33" s="205"/>
      <c r="AS33" s="205"/>
      <c r="AT33" s="205"/>
      <c r="AU33" s="205"/>
      <c r="AV33" s="205"/>
      <c r="AW33" s="205"/>
      <c r="AX33" s="205"/>
      <c r="AY33" s="205"/>
      <c r="AZ33" s="205"/>
      <c r="BA33" s="205"/>
      <c r="BB33" s="205"/>
      <c r="BC33" s="205"/>
      <c r="BD33" s="205"/>
      <c r="BE33" s="205"/>
      <c r="BF33" s="205"/>
      <c r="BG33" s="205"/>
      <c r="BH33" s="205"/>
    </row>
    <row r="34" ht="14.5" hidden="1" outlineLevel="1" spans="1:60">
      <c r="A34" s="236">
        <v>45507</v>
      </c>
      <c r="B34" s="102">
        <v>23669.17</v>
      </c>
      <c r="C34" s="102">
        <v>226475</v>
      </c>
      <c r="D34" s="249">
        <v>0.0512</v>
      </c>
      <c r="E34" s="102">
        <v>11601</v>
      </c>
      <c r="F34" s="250">
        <v>104.51</v>
      </c>
      <c r="G34" s="251">
        <v>1.28</v>
      </c>
      <c r="H34" s="251">
        <v>384</v>
      </c>
      <c r="I34" s="102">
        <v>21335.94</v>
      </c>
      <c r="J34" s="251">
        <v>365</v>
      </c>
      <c r="K34" s="102">
        <v>20456.7</v>
      </c>
      <c r="L34" s="102">
        <v>8968.92</v>
      </c>
      <c r="M34" s="251">
        <v>1.24</v>
      </c>
      <c r="N34" s="250">
        <v>2.04</v>
      </c>
      <c r="O34" s="254">
        <v>1909</v>
      </c>
      <c r="P34" s="249">
        <v>0.1646</v>
      </c>
      <c r="Q34" s="251">
        <v>12.4</v>
      </c>
      <c r="R34" s="250">
        <v>56.05</v>
      </c>
      <c r="S34" s="102">
        <v>13141</v>
      </c>
      <c r="T34" s="254">
        <v>1556</v>
      </c>
      <c r="U34" s="252">
        <v>0.4319</v>
      </c>
      <c r="V34" s="251">
        <v>0.72</v>
      </c>
      <c r="W34" s="253">
        <v>2517.7</v>
      </c>
      <c r="X34" s="252">
        <v>0.1231</v>
      </c>
      <c r="Y34" s="252">
        <v>0.8769</v>
      </c>
      <c r="Z34" s="251">
        <v>1.09</v>
      </c>
      <c r="AA34" s="251">
        <v>74.67</v>
      </c>
      <c r="AB34" s="251">
        <v>186</v>
      </c>
      <c r="AC34" s="242">
        <f t="shared" si="7"/>
        <v>127.253602150538</v>
      </c>
      <c r="AD34" s="242"/>
      <c r="AE34" s="205"/>
      <c r="AF34" s="243">
        <f t="shared" si="8"/>
        <v>0.104511182249696</v>
      </c>
      <c r="AG34" s="244">
        <f t="shared" si="9"/>
        <v>1.80116962179438</v>
      </c>
      <c r="AH34" s="245">
        <f t="shared" si="10"/>
        <v>2.23922228140933</v>
      </c>
      <c r="AI34" s="246">
        <f t="shared" si="11"/>
        <v>0.0580240644662766</v>
      </c>
      <c r="AJ34" s="208">
        <f t="shared" si="12"/>
        <v>0.304799694959698</v>
      </c>
      <c r="AK34" s="208">
        <f t="shared" si="6"/>
        <v>0.145270527357127</v>
      </c>
      <c r="AL34" s="205"/>
      <c r="AM34" s="205"/>
      <c r="AN34" s="205"/>
      <c r="AO34" s="205"/>
      <c r="AP34" s="205"/>
      <c r="AQ34" s="205"/>
      <c r="AR34" s="205"/>
      <c r="AS34" s="205"/>
      <c r="AT34" s="205"/>
      <c r="AU34" s="205"/>
      <c r="AV34" s="205"/>
      <c r="AW34" s="205"/>
      <c r="AX34" s="205"/>
      <c r="AY34" s="205"/>
      <c r="AZ34" s="205"/>
      <c r="BA34" s="205"/>
      <c r="BB34" s="205"/>
      <c r="BC34" s="205"/>
      <c r="BD34" s="205"/>
      <c r="BE34" s="205"/>
      <c r="BF34" s="205"/>
      <c r="BG34" s="205"/>
      <c r="BH34" s="205"/>
    </row>
    <row r="35" ht="14.5" hidden="1" outlineLevel="1" spans="1:60">
      <c r="A35" s="236">
        <v>45508</v>
      </c>
      <c r="B35" s="102">
        <v>28453.73</v>
      </c>
      <c r="C35" s="102">
        <v>310028</v>
      </c>
      <c r="D35" s="249">
        <v>0.0469</v>
      </c>
      <c r="E35" s="102">
        <v>14546</v>
      </c>
      <c r="F35" s="250">
        <v>91.78</v>
      </c>
      <c r="G35" s="251">
        <v>1.27</v>
      </c>
      <c r="H35" s="251">
        <v>459</v>
      </c>
      <c r="I35" s="102">
        <v>25552.11</v>
      </c>
      <c r="J35" s="251">
        <v>436</v>
      </c>
      <c r="K35" s="102">
        <v>24470.31</v>
      </c>
      <c r="L35" s="102">
        <v>10618.03</v>
      </c>
      <c r="M35" s="251">
        <v>1.23</v>
      </c>
      <c r="N35" s="250">
        <v>1.96</v>
      </c>
      <c r="O35" s="254">
        <v>1878</v>
      </c>
      <c r="P35" s="249">
        <v>0.1291</v>
      </c>
      <c r="Q35" s="251">
        <v>15.15</v>
      </c>
      <c r="R35" s="250">
        <v>56.12</v>
      </c>
      <c r="S35" s="102">
        <v>18246</v>
      </c>
      <c r="T35" s="254">
        <v>1457</v>
      </c>
      <c r="U35" s="252">
        <v>0.4035</v>
      </c>
      <c r="V35" s="251">
        <v>1.09</v>
      </c>
      <c r="W35" s="253">
        <v>3645.97</v>
      </c>
      <c r="X35" s="252">
        <v>0.149</v>
      </c>
      <c r="Y35" s="252">
        <v>0.851</v>
      </c>
      <c r="Z35" s="251">
        <v>1.05</v>
      </c>
      <c r="AA35" s="251">
        <v>77.32</v>
      </c>
      <c r="AB35" s="251">
        <v>192</v>
      </c>
      <c r="AC35" s="242">
        <f t="shared" si="7"/>
        <v>148.196510416667</v>
      </c>
      <c r="AD35" s="242"/>
      <c r="AE35" s="205"/>
      <c r="AF35" s="243">
        <f t="shared" si="8"/>
        <v>0.091777936186409</v>
      </c>
      <c r="AG35" s="244">
        <f t="shared" si="9"/>
        <v>1.55945029047462</v>
      </c>
      <c r="AH35" s="245">
        <f t="shared" si="10"/>
        <v>1.92307026197523</v>
      </c>
      <c r="AI35" s="246">
        <f t="shared" si="11"/>
        <v>0.0588527487839808</v>
      </c>
      <c r="AJ35" s="208">
        <f t="shared" si="12"/>
        <v>0.302608501855602</v>
      </c>
      <c r="AK35" s="208">
        <f t="shared" si="6"/>
        <v>0.102926668858928</v>
      </c>
      <c r="AL35" s="205"/>
      <c r="AM35" s="205"/>
      <c r="AN35" s="205"/>
      <c r="AO35" s="205"/>
      <c r="AP35" s="205"/>
      <c r="AQ35" s="205"/>
      <c r="AR35" s="205"/>
      <c r="AS35" s="205"/>
      <c r="AT35" s="205"/>
      <c r="AU35" s="205"/>
      <c r="AV35" s="205"/>
      <c r="AW35" s="205"/>
      <c r="AX35" s="205"/>
      <c r="AY35" s="205"/>
      <c r="AZ35" s="205"/>
      <c r="BA35" s="205"/>
      <c r="BB35" s="205"/>
      <c r="BC35" s="205"/>
      <c r="BD35" s="205"/>
      <c r="BE35" s="205"/>
      <c r="BF35" s="205"/>
      <c r="BG35" s="205"/>
      <c r="BH35" s="205"/>
    </row>
    <row r="36" ht="14.5" hidden="1" outlineLevel="1" spans="1:60">
      <c r="A36" s="236">
        <v>45509</v>
      </c>
      <c r="B36" s="102">
        <v>23735.73</v>
      </c>
      <c r="C36" s="102">
        <v>224746</v>
      </c>
      <c r="D36" s="249">
        <v>0.0396</v>
      </c>
      <c r="E36" s="102">
        <v>8904</v>
      </c>
      <c r="F36" s="250">
        <v>105.61</v>
      </c>
      <c r="G36" s="251">
        <v>1.17</v>
      </c>
      <c r="H36" s="251">
        <v>349</v>
      </c>
      <c r="I36" s="102">
        <v>18915.82</v>
      </c>
      <c r="J36" s="251">
        <v>341</v>
      </c>
      <c r="K36" s="102">
        <v>18467.98</v>
      </c>
      <c r="L36" s="102">
        <v>8786.97</v>
      </c>
      <c r="M36" s="251">
        <v>1.15</v>
      </c>
      <c r="N36" s="250">
        <v>2.67</v>
      </c>
      <c r="O36" s="251">
        <v>642</v>
      </c>
      <c r="P36" s="249">
        <v>0.0721</v>
      </c>
      <c r="Q36" s="251">
        <v>36.97</v>
      </c>
      <c r="R36" s="250">
        <v>54.16</v>
      </c>
      <c r="S36" s="102">
        <v>9752</v>
      </c>
      <c r="T36" s="251">
        <v>307</v>
      </c>
      <c r="U36" s="252">
        <v>0.3771</v>
      </c>
      <c r="V36" s="251">
        <v>4.99</v>
      </c>
      <c r="W36" s="253">
        <v>2705.29</v>
      </c>
      <c r="X36" s="252">
        <v>0.1465</v>
      </c>
      <c r="Y36" s="252">
        <v>0.8535</v>
      </c>
      <c r="Z36" s="251">
        <v>0.98</v>
      </c>
      <c r="AA36" s="251">
        <v>82.7</v>
      </c>
      <c r="AB36" s="251">
        <v>139</v>
      </c>
      <c r="AC36" s="242">
        <f t="shared" si="7"/>
        <v>170.760647482014</v>
      </c>
      <c r="AD36" s="242"/>
      <c r="AE36" s="205"/>
      <c r="AF36" s="243">
        <f t="shared" si="8"/>
        <v>0.105611356820589</v>
      </c>
      <c r="AG36" s="244">
        <f t="shared" si="9"/>
        <v>2.43393457752256</v>
      </c>
      <c r="AH36" s="245">
        <f t="shared" si="10"/>
        <v>2.79480619360131</v>
      </c>
      <c r="AI36" s="246">
        <f t="shared" si="11"/>
        <v>0.0433912060726331</v>
      </c>
      <c r="AJ36" s="208">
        <f t="shared" si="12"/>
        <v>0.322399050447717</v>
      </c>
      <c r="AK36" s="208">
        <f t="shared" si="6"/>
        <v>0.0658326497128794</v>
      </c>
      <c r="AL36" s="205"/>
      <c r="AM36" s="205"/>
      <c r="AN36" s="205"/>
      <c r="AO36" s="205"/>
      <c r="AP36" s="205"/>
      <c r="AQ36" s="205"/>
      <c r="AR36" s="205"/>
      <c r="AS36" s="205"/>
      <c r="AT36" s="205"/>
      <c r="AU36" s="205"/>
      <c r="AV36" s="205"/>
      <c r="AW36" s="205"/>
      <c r="AX36" s="205"/>
      <c r="AY36" s="205"/>
      <c r="AZ36" s="205"/>
      <c r="BA36" s="205"/>
      <c r="BB36" s="205"/>
      <c r="BC36" s="205"/>
      <c r="BD36" s="205"/>
      <c r="BE36" s="205"/>
      <c r="BF36" s="205"/>
      <c r="BG36" s="205"/>
      <c r="BH36" s="205"/>
    </row>
    <row r="37" ht="14.5" hidden="1" outlineLevel="1" spans="1:60">
      <c r="A37" s="236">
        <v>45510</v>
      </c>
      <c r="B37" s="102">
        <v>70638.86</v>
      </c>
      <c r="C37" s="102">
        <v>860847</v>
      </c>
      <c r="D37" s="249">
        <v>0.0379</v>
      </c>
      <c r="E37" s="102">
        <v>32661</v>
      </c>
      <c r="F37" s="250">
        <v>82.06</v>
      </c>
      <c r="G37" s="251">
        <v>1.18</v>
      </c>
      <c r="H37" s="254">
        <v>1077</v>
      </c>
      <c r="I37" s="102">
        <v>58833.71</v>
      </c>
      <c r="J37" s="254">
        <v>1047</v>
      </c>
      <c r="K37" s="102">
        <v>57377.28</v>
      </c>
      <c r="L37" s="102">
        <v>24349.12</v>
      </c>
      <c r="M37" s="251">
        <v>1.16</v>
      </c>
      <c r="N37" s="250">
        <v>2.16</v>
      </c>
      <c r="O37" s="254">
        <v>2734</v>
      </c>
      <c r="P37" s="249">
        <v>0.0837</v>
      </c>
      <c r="Q37" s="251">
        <v>25.84</v>
      </c>
      <c r="R37" s="250">
        <v>54.8</v>
      </c>
      <c r="S37" s="102">
        <v>34652</v>
      </c>
      <c r="T37" s="254">
        <v>1701</v>
      </c>
      <c r="U37" s="252">
        <v>0.4209</v>
      </c>
      <c r="V37" s="251">
        <v>1.83</v>
      </c>
      <c r="W37" s="253">
        <v>7748.28</v>
      </c>
      <c r="X37" s="252">
        <v>0.135</v>
      </c>
      <c r="Y37" s="252">
        <v>0.865</v>
      </c>
      <c r="Z37" s="251">
        <v>1</v>
      </c>
      <c r="AA37" s="251">
        <v>78.23</v>
      </c>
      <c r="AB37" s="251">
        <v>407</v>
      </c>
      <c r="AC37" s="242">
        <f t="shared" si="7"/>
        <v>173.559852579853</v>
      </c>
      <c r="AD37" s="242"/>
      <c r="AE37" s="205"/>
      <c r="AF37" s="243">
        <f t="shared" si="8"/>
        <v>0.0820573923124551</v>
      </c>
      <c r="AG37" s="244">
        <f t="shared" si="9"/>
        <v>2.03852187463927</v>
      </c>
      <c r="AH37" s="245">
        <f t="shared" si="10"/>
        <v>2.3584901304398</v>
      </c>
      <c r="AI37" s="246">
        <f t="shared" si="11"/>
        <v>0.040253378358756</v>
      </c>
      <c r="AJ37" s="208">
        <f t="shared" si="12"/>
        <v>0.297934571937587</v>
      </c>
      <c r="AK37" s="208">
        <f t="shared" ref="AK37:AK68" si="13">O37/S37</f>
        <v>0.078898764862057</v>
      </c>
      <c r="AL37" s="205"/>
      <c r="AM37" s="205"/>
      <c r="AN37" s="205"/>
      <c r="AO37" s="205"/>
      <c r="AP37" s="205"/>
      <c r="AQ37" s="205"/>
      <c r="AR37" s="205"/>
      <c r="AS37" s="205"/>
      <c r="AT37" s="205"/>
      <c r="AU37" s="205"/>
      <c r="AV37" s="205"/>
      <c r="AW37" s="205"/>
      <c r="AX37" s="205"/>
      <c r="AY37" s="205"/>
      <c r="AZ37" s="205"/>
      <c r="BA37" s="205"/>
      <c r="BB37" s="205"/>
      <c r="BC37" s="205"/>
      <c r="BD37" s="205"/>
      <c r="BE37" s="205"/>
      <c r="BF37" s="205"/>
      <c r="BG37" s="205"/>
      <c r="BH37" s="205"/>
    </row>
    <row r="38" s="203" customFormat="1" ht="14.5" hidden="1" outlineLevel="1" spans="1:60">
      <c r="A38" s="255">
        <v>45511</v>
      </c>
      <c r="B38" s="256">
        <v>586705.92</v>
      </c>
      <c r="C38" s="256">
        <v>9530722</v>
      </c>
      <c r="D38" s="257">
        <v>0.038</v>
      </c>
      <c r="E38" s="256">
        <v>362076</v>
      </c>
      <c r="F38" s="258">
        <v>61.56</v>
      </c>
      <c r="G38" s="259">
        <v>1.09</v>
      </c>
      <c r="H38" s="260">
        <v>8275</v>
      </c>
      <c r="I38" s="256">
        <v>483742.39</v>
      </c>
      <c r="J38" s="260">
        <v>8196</v>
      </c>
      <c r="K38" s="256">
        <v>479864.05</v>
      </c>
      <c r="L38" s="256">
        <v>158044.83</v>
      </c>
      <c r="M38" s="259">
        <v>1.09</v>
      </c>
      <c r="N38" s="258">
        <v>1.62</v>
      </c>
      <c r="O38" s="260">
        <v>15338</v>
      </c>
      <c r="P38" s="257">
        <v>0.0424</v>
      </c>
      <c r="Q38" s="259">
        <v>38.25</v>
      </c>
      <c r="R38" s="258">
        <v>58.55</v>
      </c>
      <c r="S38" s="256">
        <v>484162</v>
      </c>
      <c r="T38" s="260">
        <v>7442</v>
      </c>
      <c r="U38" s="261">
        <v>0.3897</v>
      </c>
      <c r="V38" s="259">
        <v>3.93</v>
      </c>
      <c r="W38" s="262">
        <v>82786.5</v>
      </c>
      <c r="X38" s="261">
        <v>0.1725</v>
      </c>
      <c r="Y38" s="261">
        <v>0.8275</v>
      </c>
      <c r="Z38" s="259">
        <v>0.91</v>
      </c>
      <c r="AA38" s="259">
        <v>85.86</v>
      </c>
      <c r="AB38" s="260">
        <v>3588</v>
      </c>
      <c r="AC38" s="263">
        <f t="shared" si="7"/>
        <v>163.518929765886</v>
      </c>
      <c r="AD38" s="263"/>
      <c r="AE38" s="264"/>
      <c r="AF38" s="265">
        <f t="shared" si="8"/>
        <v>0.0615594411420247</v>
      </c>
      <c r="AG38" s="266">
        <f t="shared" si="9"/>
        <v>1.21179671267055</v>
      </c>
      <c r="AH38" s="267">
        <f t="shared" si="10"/>
        <v>1.31755255472342</v>
      </c>
      <c r="AI38" s="268">
        <f t="shared" si="11"/>
        <v>0.0508001387512929</v>
      </c>
      <c r="AJ38" s="269">
        <f t="shared" si="12"/>
        <v>0.247754553910584</v>
      </c>
      <c r="AK38" s="208">
        <f t="shared" si="13"/>
        <v>0.0316794791825876</v>
      </c>
      <c r="AL38" s="264"/>
      <c r="AM38" s="264"/>
      <c r="AN38" s="264"/>
      <c r="AO38" s="264"/>
      <c r="AP38" s="264"/>
      <c r="AQ38" s="264"/>
      <c r="AR38" s="264"/>
      <c r="AS38" s="264"/>
      <c r="AT38" s="264"/>
      <c r="AU38" s="264"/>
      <c r="AV38" s="264"/>
      <c r="AW38" s="264"/>
      <c r="AX38" s="264"/>
      <c r="AY38" s="264"/>
      <c r="AZ38" s="264"/>
      <c r="BA38" s="264"/>
      <c r="BB38" s="264"/>
      <c r="BC38" s="264"/>
      <c r="BD38" s="264"/>
      <c r="BE38" s="264"/>
      <c r="BF38" s="264"/>
      <c r="BG38" s="264"/>
      <c r="BH38" s="264"/>
    </row>
    <row r="39" ht="14.5" hidden="1" outlineLevel="1" spans="1:60">
      <c r="A39" s="236">
        <v>45512</v>
      </c>
      <c r="B39" s="102">
        <v>73848.19</v>
      </c>
      <c r="C39" s="102">
        <v>862886</v>
      </c>
      <c r="D39" s="249">
        <v>0.0484</v>
      </c>
      <c r="E39" s="102">
        <v>41728</v>
      </c>
      <c r="F39" s="250">
        <v>85.58</v>
      </c>
      <c r="G39" s="251">
        <v>1.25</v>
      </c>
      <c r="H39" s="254">
        <v>1161</v>
      </c>
      <c r="I39" s="102">
        <v>66909.18</v>
      </c>
      <c r="J39" s="254">
        <v>1132</v>
      </c>
      <c r="K39" s="102">
        <v>65313.23</v>
      </c>
      <c r="L39" s="102">
        <v>25170.27</v>
      </c>
      <c r="M39" s="251">
        <v>1.23</v>
      </c>
      <c r="N39" s="250">
        <v>1.77</v>
      </c>
      <c r="O39" s="254">
        <v>1160</v>
      </c>
      <c r="P39" s="249">
        <v>0.0278</v>
      </c>
      <c r="Q39" s="251">
        <v>63.66</v>
      </c>
      <c r="R39" s="250">
        <v>57.7</v>
      </c>
      <c r="S39" s="102">
        <v>69187</v>
      </c>
      <c r="T39" s="251">
        <v>41</v>
      </c>
      <c r="U39" s="252">
        <v>13.6667</v>
      </c>
      <c r="V39" s="251">
        <v>0</v>
      </c>
      <c r="W39" s="253">
        <v>10466.1</v>
      </c>
      <c r="X39" s="252">
        <v>0.1602</v>
      </c>
      <c r="Y39" s="252">
        <v>0.8398</v>
      </c>
      <c r="Z39" s="251">
        <v>1.03</v>
      </c>
      <c r="AA39" s="251">
        <v>78.06</v>
      </c>
      <c r="AB39" s="251">
        <v>417</v>
      </c>
      <c r="AC39" s="242">
        <f t="shared" si="7"/>
        <v>177.093980815348</v>
      </c>
      <c r="AD39" s="242"/>
      <c r="AE39" s="205"/>
      <c r="AF39" s="243">
        <f t="shared" si="8"/>
        <v>0.0855827884564126</v>
      </c>
      <c r="AG39" s="244">
        <f t="shared" si="9"/>
        <v>1.06737089337592</v>
      </c>
      <c r="AH39" s="245">
        <f t="shared" si="10"/>
        <v>1.30781071588593</v>
      </c>
      <c r="AI39" s="246">
        <f t="shared" si="11"/>
        <v>0.0801809277239404</v>
      </c>
      <c r="AJ39" s="208">
        <f t="shared" si="12"/>
        <v>0.2781752474208</v>
      </c>
      <c r="AK39" s="208">
        <f t="shared" si="13"/>
        <v>0.0167661554916386</v>
      </c>
      <c r="AL39" s="205"/>
      <c r="AM39" s="205"/>
      <c r="AN39" s="205"/>
      <c r="AO39" s="205"/>
      <c r="AP39" s="205"/>
      <c r="AQ39" s="205"/>
      <c r="AR39" s="205"/>
      <c r="AS39" s="205"/>
      <c r="AT39" s="205"/>
      <c r="AU39" s="205"/>
      <c r="AV39" s="205"/>
      <c r="AW39" s="205"/>
      <c r="AX39" s="205"/>
      <c r="AY39" s="205"/>
      <c r="AZ39" s="205"/>
      <c r="BA39" s="205"/>
      <c r="BB39" s="205"/>
      <c r="BC39" s="205"/>
      <c r="BD39" s="205"/>
      <c r="BE39" s="205"/>
      <c r="BF39" s="205"/>
      <c r="BG39" s="205"/>
      <c r="BH39" s="205"/>
    </row>
    <row r="40" ht="14.5" hidden="1" outlineLevel="1" spans="1:60">
      <c r="A40" s="236">
        <v>45513</v>
      </c>
      <c r="B40" s="102">
        <v>127284.19</v>
      </c>
      <c r="C40" s="102">
        <v>1184221</v>
      </c>
      <c r="D40" s="249">
        <v>0.0418</v>
      </c>
      <c r="E40" s="102">
        <v>49492</v>
      </c>
      <c r="F40" s="250">
        <v>107.48</v>
      </c>
      <c r="G40" s="251">
        <v>1.27</v>
      </c>
      <c r="H40" s="254">
        <v>1999</v>
      </c>
      <c r="I40" s="102">
        <v>110260.34</v>
      </c>
      <c r="J40" s="254">
        <v>1966</v>
      </c>
      <c r="K40" s="102">
        <v>105761.53</v>
      </c>
      <c r="L40" s="102">
        <v>51675.99</v>
      </c>
      <c r="M40" s="251">
        <v>1.24</v>
      </c>
      <c r="N40" s="250">
        <v>2.57</v>
      </c>
      <c r="O40" s="254">
        <v>1954</v>
      </c>
      <c r="P40" s="249">
        <v>0.0395</v>
      </c>
      <c r="Q40" s="251">
        <v>65.14</v>
      </c>
      <c r="R40" s="250">
        <v>53.8</v>
      </c>
      <c r="S40" s="102">
        <v>60064</v>
      </c>
      <c r="T40" s="251">
        <v>5</v>
      </c>
      <c r="U40" s="252">
        <v>0</v>
      </c>
      <c r="V40" s="251">
        <v>0</v>
      </c>
      <c r="W40" s="253">
        <v>17125.61</v>
      </c>
      <c r="X40" s="252">
        <v>0.1619</v>
      </c>
      <c r="Y40" s="252">
        <v>0.8381</v>
      </c>
      <c r="Z40" s="251">
        <v>1.04</v>
      </c>
      <c r="AA40" s="251">
        <v>77.61</v>
      </c>
      <c r="AB40" s="251">
        <v>578</v>
      </c>
      <c r="AC40" s="242">
        <f t="shared" si="7"/>
        <v>220.214861591695</v>
      </c>
      <c r="AD40" s="242"/>
      <c r="AE40" s="205"/>
      <c r="AF40" s="243">
        <f t="shared" si="8"/>
        <v>0.107483476479475</v>
      </c>
      <c r="AG40" s="244">
        <f t="shared" si="9"/>
        <v>2.11914274773575</v>
      </c>
      <c r="AH40" s="245">
        <f t="shared" si="10"/>
        <v>2.62116275972296</v>
      </c>
      <c r="AI40" s="246">
        <f t="shared" si="11"/>
        <v>0.0507202625185671</v>
      </c>
      <c r="AJ40" s="208">
        <f t="shared" si="12"/>
        <v>0.32823173281693</v>
      </c>
      <c r="AK40" s="208">
        <f t="shared" si="13"/>
        <v>0.0325319659030368</v>
      </c>
      <c r="AL40" s="205"/>
      <c r="AM40" s="205"/>
      <c r="AN40" s="205"/>
      <c r="AO40" s="205"/>
      <c r="AP40" s="205"/>
      <c r="AQ40" s="205"/>
      <c r="AR40" s="205"/>
      <c r="AS40" s="205"/>
      <c r="AT40" s="205"/>
      <c r="AU40" s="205"/>
      <c r="AV40" s="205"/>
      <c r="AW40" s="205"/>
      <c r="AX40" s="205"/>
      <c r="AY40" s="205"/>
      <c r="AZ40" s="205"/>
      <c r="BA40" s="205"/>
      <c r="BB40" s="205"/>
      <c r="BC40" s="205"/>
      <c r="BD40" s="205"/>
      <c r="BE40" s="205"/>
      <c r="BF40" s="205"/>
      <c r="BG40" s="205"/>
      <c r="BH40" s="205"/>
    </row>
    <row r="41" ht="14.5" hidden="1" outlineLevel="1" spans="1:60">
      <c r="A41" s="236">
        <v>45514</v>
      </c>
      <c r="B41" s="102">
        <v>87943.24</v>
      </c>
      <c r="C41" s="102">
        <v>831040</v>
      </c>
      <c r="D41" s="249">
        <v>0.0421</v>
      </c>
      <c r="E41" s="102">
        <v>35016</v>
      </c>
      <c r="F41" s="250">
        <v>105.82</v>
      </c>
      <c r="G41" s="251">
        <v>1.25</v>
      </c>
      <c r="H41" s="254">
        <v>1385</v>
      </c>
      <c r="I41" s="102">
        <v>77847.96</v>
      </c>
      <c r="J41" s="254">
        <v>1368</v>
      </c>
      <c r="K41" s="102">
        <v>76887.76</v>
      </c>
      <c r="L41" s="102">
        <v>32433.64</v>
      </c>
      <c r="M41" s="251">
        <v>1.24</v>
      </c>
      <c r="N41" s="250">
        <v>2.51</v>
      </c>
      <c r="O41" s="254">
        <v>1368</v>
      </c>
      <c r="P41" s="249">
        <v>0.0391</v>
      </c>
      <c r="Q41" s="251">
        <v>64.29</v>
      </c>
      <c r="R41" s="250">
        <v>56.2</v>
      </c>
      <c r="S41" s="102">
        <v>40160</v>
      </c>
      <c r="T41" s="251">
        <v>9</v>
      </c>
      <c r="U41" s="252">
        <v>0</v>
      </c>
      <c r="V41" s="251">
        <v>0</v>
      </c>
      <c r="W41" s="253">
        <v>10489.12</v>
      </c>
      <c r="X41" s="252">
        <v>0.1364</v>
      </c>
      <c r="Y41" s="252">
        <v>0.8636</v>
      </c>
      <c r="Z41" s="251">
        <v>1.07</v>
      </c>
      <c r="AA41" s="251">
        <v>75.1</v>
      </c>
      <c r="AB41" s="251">
        <v>416</v>
      </c>
      <c r="AC41" s="242">
        <f t="shared" si="7"/>
        <v>211.402019230769</v>
      </c>
      <c r="AD41" s="242"/>
      <c r="AE41" s="205"/>
      <c r="AF41" s="243">
        <f t="shared" si="8"/>
        <v>0.105823113207547</v>
      </c>
      <c r="AG41" s="244">
        <f t="shared" si="9"/>
        <v>2.18982171314741</v>
      </c>
      <c r="AH41" s="245">
        <f t="shared" si="10"/>
        <v>2.72214641434263</v>
      </c>
      <c r="AI41" s="246">
        <f t="shared" si="11"/>
        <v>0.0483249903735079</v>
      </c>
      <c r="AJ41" s="208">
        <f t="shared" si="12"/>
        <v>0.296681528044829</v>
      </c>
      <c r="AK41" s="208">
        <f t="shared" si="13"/>
        <v>0.0340637450199203</v>
      </c>
      <c r="AL41" s="205"/>
      <c r="AM41" s="205"/>
      <c r="AN41" s="205"/>
      <c r="AO41" s="205"/>
      <c r="AP41" s="205"/>
      <c r="AQ41" s="205"/>
      <c r="AR41" s="205"/>
      <c r="AS41" s="205"/>
      <c r="AT41" s="205"/>
      <c r="AU41" s="205"/>
      <c r="AV41" s="205"/>
      <c r="AW41" s="205"/>
      <c r="AX41" s="205"/>
      <c r="AY41" s="205"/>
      <c r="AZ41" s="205"/>
      <c r="BA41" s="205"/>
      <c r="BB41" s="205"/>
      <c r="BC41" s="205"/>
      <c r="BD41" s="205"/>
      <c r="BE41" s="205"/>
      <c r="BF41" s="205"/>
      <c r="BG41" s="205"/>
      <c r="BH41" s="205"/>
    </row>
    <row r="42" ht="14.5" hidden="1" outlineLevel="1" spans="1:60">
      <c r="A42" s="236">
        <v>45515</v>
      </c>
      <c r="B42" s="102">
        <v>118422.81</v>
      </c>
      <c r="C42" s="102">
        <v>1396725</v>
      </c>
      <c r="D42" s="249">
        <v>0.0533</v>
      </c>
      <c r="E42" s="102">
        <v>74379</v>
      </c>
      <c r="F42" s="250">
        <v>84.79</v>
      </c>
      <c r="G42" s="251">
        <v>1.33</v>
      </c>
      <c r="H42" s="254">
        <v>1986</v>
      </c>
      <c r="I42" s="102">
        <v>109946.93</v>
      </c>
      <c r="J42" s="254">
        <v>1960</v>
      </c>
      <c r="K42" s="102">
        <v>108522.93</v>
      </c>
      <c r="L42" s="102">
        <v>47620.38</v>
      </c>
      <c r="M42" s="251">
        <v>1.32</v>
      </c>
      <c r="N42" s="250">
        <v>1.59</v>
      </c>
      <c r="O42" s="254">
        <v>1961</v>
      </c>
      <c r="P42" s="249">
        <v>0.0264</v>
      </c>
      <c r="Q42" s="251">
        <v>60.39</v>
      </c>
      <c r="R42" s="250">
        <v>55.37</v>
      </c>
      <c r="S42" s="102">
        <v>94975</v>
      </c>
      <c r="T42" s="251">
        <v>7</v>
      </c>
      <c r="U42" s="252">
        <v>0</v>
      </c>
      <c r="V42" s="251">
        <v>0</v>
      </c>
      <c r="W42" s="253">
        <v>17066.04</v>
      </c>
      <c r="X42" s="252">
        <v>0.1573</v>
      </c>
      <c r="Y42" s="252">
        <v>0.8427</v>
      </c>
      <c r="Z42" s="251">
        <v>1.11</v>
      </c>
      <c r="AA42" s="251">
        <v>72.61</v>
      </c>
      <c r="AB42" s="251">
        <v>539</v>
      </c>
      <c r="AC42" s="242">
        <f t="shared" si="7"/>
        <v>219.708367346939</v>
      </c>
      <c r="AD42" s="242"/>
      <c r="AE42" s="205"/>
      <c r="AF42" s="243">
        <f t="shared" si="8"/>
        <v>0.0847860602480803</v>
      </c>
      <c r="AG42" s="244">
        <f t="shared" si="9"/>
        <v>1.24688402211108</v>
      </c>
      <c r="AH42" s="245">
        <f t="shared" si="10"/>
        <v>1.64404643327191</v>
      </c>
      <c r="AI42" s="246">
        <f t="shared" si="11"/>
        <v>0.0679983532907337</v>
      </c>
      <c r="AJ42" s="208">
        <f t="shared" si="12"/>
        <v>0.30497867631985</v>
      </c>
      <c r="AK42" s="208">
        <f t="shared" si="13"/>
        <v>0.0206475388260068</v>
      </c>
      <c r="AL42" s="205"/>
      <c r="AM42" s="205"/>
      <c r="AN42" s="205"/>
      <c r="AO42" s="205"/>
      <c r="AP42" s="205"/>
      <c r="AQ42" s="205"/>
      <c r="AR42" s="205"/>
      <c r="AS42" s="205"/>
      <c r="AT42" s="205"/>
      <c r="AU42" s="205"/>
      <c r="AV42" s="205"/>
      <c r="AW42" s="205"/>
      <c r="AX42" s="205"/>
      <c r="AY42" s="205"/>
      <c r="AZ42" s="205"/>
      <c r="BA42" s="205"/>
      <c r="BB42" s="205"/>
      <c r="BC42" s="205"/>
      <c r="BD42" s="205"/>
      <c r="BE42" s="205"/>
      <c r="BF42" s="205"/>
      <c r="BG42" s="205"/>
      <c r="BH42" s="205"/>
    </row>
    <row r="43" ht="14.5" hidden="1" outlineLevel="1" spans="1:60">
      <c r="A43" s="236">
        <v>45516</v>
      </c>
      <c r="B43" s="102">
        <v>83163.35</v>
      </c>
      <c r="C43" s="102">
        <v>837708</v>
      </c>
      <c r="D43" s="249">
        <v>0.0467</v>
      </c>
      <c r="E43" s="102">
        <v>39141</v>
      </c>
      <c r="F43" s="250">
        <v>99.27</v>
      </c>
      <c r="G43" s="251">
        <v>1.31</v>
      </c>
      <c r="H43" s="254">
        <v>1382</v>
      </c>
      <c r="I43" s="102">
        <v>75288.22</v>
      </c>
      <c r="J43" s="254">
        <v>1360</v>
      </c>
      <c r="K43" s="102">
        <v>74550.4</v>
      </c>
      <c r="L43" s="102">
        <v>33936.9</v>
      </c>
      <c r="M43" s="251">
        <v>1.3</v>
      </c>
      <c r="N43" s="250">
        <v>2.12</v>
      </c>
      <c r="O43" s="254">
        <v>1362</v>
      </c>
      <c r="P43" s="249">
        <v>0.0348</v>
      </c>
      <c r="Q43" s="251">
        <v>61.06</v>
      </c>
      <c r="R43" s="250">
        <v>54.82</v>
      </c>
      <c r="S43" s="102">
        <v>47955</v>
      </c>
      <c r="T43" s="251">
        <v>2</v>
      </c>
      <c r="U43" s="252">
        <v>0</v>
      </c>
      <c r="V43" s="251">
        <v>0</v>
      </c>
      <c r="W43" s="253">
        <v>10776.58</v>
      </c>
      <c r="X43" s="252">
        <v>0.1446</v>
      </c>
      <c r="Y43" s="252">
        <v>0.8554</v>
      </c>
      <c r="Z43" s="251">
        <v>1.12</v>
      </c>
      <c r="AA43" s="251">
        <v>71.75</v>
      </c>
      <c r="AB43" s="251">
        <v>466</v>
      </c>
      <c r="AC43" s="242">
        <f t="shared" si="7"/>
        <v>178.462124463519</v>
      </c>
      <c r="AD43" s="242"/>
      <c r="AE43" s="205"/>
      <c r="AF43" s="243">
        <f t="shared" si="8"/>
        <v>0.0992748666599818</v>
      </c>
      <c r="AG43" s="244">
        <f t="shared" si="9"/>
        <v>1.73419560004171</v>
      </c>
      <c r="AH43" s="245">
        <f t="shared" si="10"/>
        <v>2.26227296423731</v>
      </c>
      <c r="AI43" s="246">
        <f t="shared" si="11"/>
        <v>0.0572454841066338</v>
      </c>
      <c r="AJ43" s="208">
        <f t="shared" si="12"/>
        <v>0.31281910417164</v>
      </c>
      <c r="AK43" s="208">
        <f t="shared" si="13"/>
        <v>0.0284016265248671</v>
      </c>
      <c r="AL43" s="205"/>
      <c r="AM43" s="205"/>
      <c r="AN43" s="205"/>
      <c r="AO43" s="205"/>
      <c r="AP43" s="205"/>
      <c r="AQ43" s="205"/>
      <c r="AR43" s="205"/>
      <c r="AS43" s="205"/>
      <c r="AT43" s="205"/>
      <c r="AU43" s="205"/>
      <c r="AV43" s="205"/>
      <c r="AW43" s="205"/>
      <c r="AX43" s="205"/>
      <c r="AY43" s="205"/>
      <c r="AZ43" s="205"/>
      <c r="BA43" s="205"/>
      <c r="BB43" s="205"/>
      <c r="BC43" s="205"/>
      <c r="BD43" s="205"/>
      <c r="BE43" s="205"/>
      <c r="BF43" s="205"/>
      <c r="BG43" s="205"/>
      <c r="BH43" s="205"/>
    </row>
    <row r="44" ht="14.5" hidden="1" outlineLevel="1" spans="1:60">
      <c r="A44" s="236">
        <v>45517</v>
      </c>
      <c r="B44" s="102">
        <v>143740.99</v>
      </c>
      <c r="C44" s="102">
        <v>1708754</v>
      </c>
      <c r="D44" s="249">
        <v>0.0505</v>
      </c>
      <c r="E44" s="102">
        <v>86299</v>
      </c>
      <c r="F44" s="250">
        <v>84.12</v>
      </c>
      <c r="G44" s="251">
        <v>1.31</v>
      </c>
      <c r="H44" s="254">
        <v>2386</v>
      </c>
      <c r="I44" s="102">
        <v>126801.69</v>
      </c>
      <c r="J44" s="254">
        <v>2355</v>
      </c>
      <c r="K44" s="102">
        <v>125318.31</v>
      </c>
      <c r="L44" s="102">
        <v>61278.44</v>
      </c>
      <c r="M44" s="251">
        <v>1.3</v>
      </c>
      <c r="N44" s="250">
        <v>1.67</v>
      </c>
      <c r="O44" s="254">
        <v>2346</v>
      </c>
      <c r="P44" s="249">
        <v>0.0272</v>
      </c>
      <c r="Q44" s="251">
        <v>61.27</v>
      </c>
      <c r="R44" s="250">
        <v>53.21</v>
      </c>
      <c r="S44" s="102">
        <v>102028</v>
      </c>
      <c r="T44" s="251">
        <v>0</v>
      </c>
      <c r="U44" s="252">
        <v>0</v>
      </c>
      <c r="V44" s="251">
        <v>0</v>
      </c>
      <c r="W44" s="253">
        <v>15325.58</v>
      </c>
      <c r="X44" s="252">
        <v>0.1223</v>
      </c>
      <c r="Y44" s="252">
        <v>0.8777</v>
      </c>
      <c r="Z44" s="251">
        <v>1.14</v>
      </c>
      <c r="AA44" s="251">
        <v>70.05</v>
      </c>
      <c r="AB44" s="251">
        <v>873</v>
      </c>
      <c r="AC44" s="242">
        <f t="shared" si="7"/>
        <v>164.651764032073</v>
      </c>
      <c r="AD44" s="242"/>
      <c r="AE44" s="205"/>
      <c r="AF44" s="243">
        <f t="shared" si="8"/>
        <v>0.0841203531930284</v>
      </c>
      <c r="AG44" s="244">
        <f t="shared" si="9"/>
        <v>1.40883865213471</v>
      </c>
      <c r="AH44" s="245">
        <f t="shared" si="10"/>
        <v>1.82887785705885</v>
      </c>
      <c r="AI44" s="246">
        <f t="shared" si="11"/>
        <v>0.059709004338834</v>
      </c>
      <c r="AJ44" s="208">
        <f t="shared" si="12"/>
        <v>0.328400360670805</v>
      </c>
      <c r="AK44" s="208">
        <f t="shared" si="13"/>
        <v>0.0229936880072137</v>
      </c>
      <c r="AL44" s="205"/>
      <c r="AM44" s="205"/>
      <c r="AN44" s="205"/>
      <c r="AO44" s="205"/>
      <c r="AP44" s="205"/>
      <c r="AQ44" s="205"/>
      <c r="AR44" s="205"/>
      <c r="AS44" s="205"/>
      <c r="AT44" s="205"/>
      <c r="AU44" s="205"/>
      <c r="AV44" s="205"/>
      <c r="AW44" s="205"/>
      <c r="AX44" s="205"/>
      <c r="AY44" s="205"/>
      <c r="AZ44" s="205"/>
      <c r="BA44" s="205"/>
      <c r="BB44" s="205"/>
      <c r="BC44" s="205"/>
      <c r="BD44" s="205"/>
      <c r="BE44" s="205"/>
      <c r="BF44" s="205"/>
      <c r="BG44" s="205"/>
      <c r="BH44" s="205"/>
    </row>
    <row r="45" ht="14.5" hidden="1" outlineLevel="1" spans="1:60">
      <c r="A45" s="236">
        <v>45518</v>
      </c>
      <c r="B45" s="102">
        <v>90162.09</v>
      </c>
      <c r="C45" s="102">
        <v>1016818</v>
      </c>
      <c r="D45" s="249">
        <v>0.0468</v>
      </c>
      <c r="E45" s="102">
        <v>47636</v>
      </c>
      <c r="F45" s="250">
        <v>88.67</v>
      </c>
      <c r="G45" s="251">
        <v>1.3</v>
      </c>
      <c r="H45" s="254">
        <v>1502</v>
      </c>
      <c r="I45" s="102">
        <v>79215.73</v>
      </c>
      <c r="J45" s="254">
        <v>1466</v>
      </c>
      <c r="K45" s="102">
        <v>77367.93</v>
      </c>
      <c r="L45" s="102">
        <v>37983.08</v>
      </c>
      <c r="M45" s="251">
        <v>1.28</v>
      </c>
      <c r="N45" s="250">
        <v>1.89</v>
      </c>
      <c r="O45" s="254">
        <v>1851</v>
      </c>
      <c r="P45" s="249">
        <v>0.0389</v>
      </c>
      <c r="Q45" s="251">
        <v>48.71</v>
      </c>
      <c r="R45" s="250">
        <v>52.77</v>
      </c>
      <c r="S45" s="102">
        <v>53420</v>
      </c>
      <c r="T45" s="251">
        <v>394</v>
      </c>
      <c r="U45" s="252">
        <v>0.456</v>
      </c>
      <c r="V45" s="251">
        <v>1.35</v>
      </c>
      <c r="W45" s="253">
        <v>10507.56</v>
      </c>
      <c r="X45" s="252">
        <v>0.1358</v>
      </c>
      <c r="Y45" s="252">
        <v>0.8642</v>
      </c>
      <c r="Z45" s="251">
        <v>1.11</v>
      </c>
      <c r="AA45" s="251">
        <v>72.01</v>
      </c>
      <c r="AB45" s="251">
        <v>427</v>
      </c>
      <c r="AC45" s="242">
        <f t="shared" si="7"/>
        <v>211.15243559719</v>
      </c>
      <c r="AD45" s="242"/>
      <c r="AE45" s="205"/>
      <c r="AF45" s="243">
        <f t="shared" si="8"/>
        <v>0.0886708240806123</v>
      </c>
      <c r="AG45" s="244">
        <f t="shared" si="9"/>
        <v>1.68779651815799</v>
      </c>
      <c r="AH45" s="245">
        <f t="shared" si="10"/>
        <v>2.15932253837514</v>
      </c>
      <c r="AI45" s="246">
        <f t="shared" si="11"/>
        <v>0.052536442116485</v>
      </c>
      <c r="AJ45" s="208">
        <f t="shared" si="12"/>
        <v>0.329282595791749</v>
      </c>
      <c r="AK45" s="208">
        <f t="shared" si="13"/>
        <v>0.034649943841258</v>
      </c>
      <c r="AL45" s="205"/>
      <c r="AM45" s="205"/>
      <c r="AN45" s="205"/>
      <c r="AO45" s="205"/>
      <c r="AP45" s="205"/>
      <c r="AQ45" s="205"/>
      <c r="AR45" s="205"/>
      <c r="AS45" s="205"/>
      <c r="AT45" s="205"/>
      <c r="AU45" s="205"/>
      <c r="AV45" s="205"/>
      <c r="AW45" s="205"/>
      <c r="AX45" s="205"/>
      <c r="AY45" s="205"/>
      <c r="AZ45" s="205"/>
      <c r="BA45" s="205"/>
      <c r="BB45" s="205"/>
      <c r="BC45" s="205"/>
      <c r="BD45" s="205"/>
      <c r="BE45" s="205"/>
      <c r="BF45" s="205"/>
      <c r="BG45" s="205"/>
      <c r="BH45" s="205"/>
    </row>
    <row r="46" ht="14.5" hidden="1" outlineLevel="1" spans="1:60">
      <c r="A46" s="236">
        <v>45519</v>
      </c>
      <c r="B46" s="102">
        <v>74131.34</v>
      </c>
      <c r="C46" s="102">
        <v>896097</v>
      </c>
      <c r="D46" s="249">
        <v>0.0453</v>
      </c>
      <c r="E46" s="102">
        <v>40634</v>
      </c>
      <c r="F46" s="250">
        <v>82.73</v>
      </c>
      <c r="G46" s="251">
        <v>1.35</v>
      </c>
      <c r="H46" s="254">
        <v>1283</v>
      </c>
      <c r="I46" s="102">
        <v>68106.16</v>
      </c>
      <c r="J46" s="254">
        <v>1251</v>
      </c>
      <c r="K46" s="102">
        <v>66779.04</v>
      </c>
      <c r="L46" s="102">
        <v>31873.15</v>
      </c>
      <c r="M46" s="251">
        <v>1.33</v>
      </c>
      <c r="N46" s="250">
        <v>1.82</v>
      </c>
      <c r="O46" s="254">
        <v>1249</v>
      </c>
      <c r="P46" s="249">
        <v>0.0307</v>
      </c>
      <c r="Q46" s="251">
        <v>59.35</v>
      </c>
      <c r="R46" s="250">
        <v>53.38</v>
      </c>
      <c r="S46" s="102">
        <v>47448</v>
      </c>
      <c r="T46" s="251">
        <v>0</v>
      </c>
      <c r="U46" s="252">
        <v>0</v>
      </c>
      <c r="V46" s="251">
        <v>0</v>
      </c>
      <c r="W46" s="253">
        <v>7787.69</v>
      </c>
      <c r="X46" s="252">
        <v>0.1166</v>
      </c>
      <c r="Y46" s="252">
        <v>0.8834</v>
      </c>
      <c r="Z46" s="251">
        <v>1.17</v>
      </c>
      <c r="AA46" s="251">
        <v>68.14</v>
      </c>
      <c r="AB46" s="251">
        <v>356</v>
      </c>
      <c r="AC46" s="242">
        <f t="shared" si="7"/>
        <v>208.234101123596</v>
      </c>
      <c r="AD46" s="242"/>
      <c r="AE46" s="205"/>
      <c r="AF46" s="243">
        <f t="shared" si="8"/>
        <v>0.0827269146085747</v>
      </c>
      <c r="AG46" s="244">
        <f t="shared" si="9"/>
        <v>1.5623701736638</v>
      </c>
      <c r="AH46" s="245">
        <f t="shared" si="10"/>
        <v>2.07916434833923</v>
      </c>
      <c r="AI46" s="246">
        <f t="shared" si="11"/>
        <v>0.0529496248732001</v>
      </c>
      <c r="AJ46" s="208">
        <f t="shared" si="12"/>
        <v>0.323086086583582</v>
      </c>
      <c r="AK46" s="208">
        <f t="shared" si="13"/>
        <v>0.0263235542067105</v>
      </c>
      <c r="AL46" s="205"/>
      <c r="AM46" s="205"/>
      <c r="AN46" s="205"/>
      <c r="AO46" s="205"/>
      <c r="AP46" s="205"/>
      <c r="AQ46" s="205"/>
      <c r="AR46" s="205"/>
      <c r="AS46" s="205"/>
      <c r="AT46" s="205"/>
      <c r="AU46" s="205"/>
      <c r="AV46" s="205"/>
      <c r="AW46" s="205"/>
      <c r="AX46" s="205"/>
      <c r="AY46" s="205"/>
      <c r="AZ46" s="205"/>
      <c r="BA46" s="205"/>
      <c r="BB46" s="205"/>
      <c r="BC46" s="205"/>
      <c r="BD46" s="205"/>
      <c r="BE46" s="205"/>
      <c r="BF46" s="205"/>
      <c r="BG46" s="205"/>
      <c r="BH46" s="205"/>
    </row>
    <row r="47" ht="14.5" hidden="1" outlineLevel="1" spans="1:60">
      <c r="A47" s="236">
        <v>45520</v>
      </c>
      <c r="B47" s="102">
        <v>44692.02</v>
      </c>
      <c r="C47" s="102">
        <v>464625</v>
      </c>
      <c r="D47" s="249">
        <v>0.0432</v>
      </c>
      <c r="E47" s="102">
        <v>20060</v>
      </c>
      <c r="F47" s="250">
        <v>96.19</v>
      </c>
      <c r="G47" s="251">
        <v>1.4</v>
      </c>
      <c r="H47" s="251">
        <v>804</v>
      </c>
      <c r="I47" s="102">
        <v>44075.05</v>
      </c>
      <c r="J47" s="251">
        <v>780</v>
      </c>
      <c r="K47" s="102">
        <v>43274.52</v>
      </c>
      <c r="L47" s="102">
        <v>18379.38</v>
      </c>
      <c r="M47" s="251">
        <v>1.38</v>
      </c>
      <c r="N47" s="250">
        <v>2.23</v>
      </c>
      <c r="O47" s="251">
        <v>770</v>
      </c>
      <c r="P47" s="249">
        <v>0.0384</v>
      </c>
      <c r="Q47" s="251">
        <v>58.04</v>
      </c>
      <c r="R47" s="250">
        <v>55.48</v>
      </c>
      <c r="S47" s="102">
        <v>23611</v>
      </c>
      <c r="T47" s="251">
        <v>0</v>
      </c>
      <c r="U47" s="252">
        <v>0</v>
      </c>
      <c r="V47" s="251">
        <v>0</v>
      </c>
      <c r="W47" s="253">
        <v>5706.38</v>
      </c>
      <c r="X47" s="252">
        <v>0.1319</v>
      </c>
      <c r="Y47" s="252">
        <v>0.8681</v>
      </c>
      <c r="Z47" s="251">
        <v>1.19</v>
      </c>
      <c r="AA47" s="251">
        <v>66.9</v>
      </c>
      <c r="AB47" s="251">
        <v>231</v>
      </c>
      <c r="AC47" s="242">
        <f t="shared" si="7"/>
        <v>193.471948051948</v>
      </c>
      <c r="AD47" s="242"/>
      <c r="AE47" s="205"/>
      <c r="AF47" s="243">
        <f t="shared" si="8"/>
        <v>0.0961894430992736</v>
      </c>
      <c r="AG47" s="244">
        <f t="shared" si="9"/>
        <v>1.89284740163483</v>
      </c>
      <c r="AH47" s="245">
        <f t="shared" si="10"/>
        <v>2.61123628817077</v>
      </c>
      <c r="AI47" s="246">
        <f t="shared" si="11"/>
        <v>0.0508173258003767</v>
      </c>
      <c r="AJ47" s="208">
        <f t="shared" si="12"/>
        <v>0.298105715940111</v>
      </c>
      <c r="AK47" s="208">
        <f t="shared" si="13"/>
        <v>0.0326119181737326</v>
      </c>
      <c r="AL47" s="205"/>
      <c r="AM47" s="205"/>
      <c r="AN47" s="205"/>
      <c r="AO47" s="205"/>
      <c r="AP47" s="205"/>
      <c r="AQ47" s="205"/>
      <c r="AR47" s="205"/>
      <c r="AS47" s="205"/>
      <c r="AT47" s="205"/>
      <c r="AU47" s="205"/>
      <c r="AV47" s="205"/>
      <c r="AW47" s="205"/>
      <c r="AX47" s="205"/>
      <c r="AY47" s="205"/>
      <c r="AZ47" s="205"/>
      <c r="BA47" s="205"/>
      <c r="BB47" s="205"/>
      <c r="BC47" s="205"/>
      <c r="BD47" s="205"/>
      <c r="BE47" s="205"/>
      <c r="BF47" s="205"/>
      <c r="BG47" s="205"/>
      <c r="BH47" s="205"/>
    </row>
    <row r="48" ht="14.5" hidden="1" outlineLevel="1" spans="1:60">
      <c r="A48" s="236">
        <v>45521</v>
      </c>
      <c r="B48" s="102">
        <v>85154.82</v>
      </c>
      <c r="C48" s="102">
        <v>1045964</v>
      </c>
      <c r="D48" s="249">
        <v>0.0521</v>
      </c>
      <c r="E48" s="102">
        <v>54539</v>
      </c>
      <c r="F48" s="250">
        <v>81.41</v>
      </c>
      <c r="G48" s="251">
        <v>1.36</v>
      </c>
      <c r="H48" s="254">
        <v>1510</v>
      </c>
      <c r="I48" s="102">
        <v>77557.39</v>
      </c>
      <c r="J48" s="254">
        <v>1486</v>
      </c>
      <c r="K48" s="102">
        <v>76656.71</v>
      </c>
      <c r="L48" s="102">
        <v>38093.11</v>
      </c>
      <c r="M48" s="251">
        <v>1.35</v>
      </c>
      <c r="N48" s="250">
        <v>1.56</v>
      </c>
      <c r="O48" s="254">
        <v>1482</v>
      </c>
      <c r="P48" s="249">
        <v>0.0272</v>
      </c>
      <c r="Q48" s="251">
        <v>57.46</v>
      </c>
      <c r="R48" s="250">
        <v>51.59</v>
      </c>
      <c r="S48" s="102">
        <v>67683</v>
      </c>
      <c r="T48" s="251">
        <v>1</v>
      </c>
      <c r="U48" s="252">
        <v>0</v>
      </c>
      <c r="V48" s="251">
        <v>0</v>
      </c>
      <c r="W48" s="253">
        <v>9850.99</v>
      </c>
      <c r="X48" s="252">
        <v>0.1285</v>
      </c>
      <c r="Y48" s="252">
        <v>0.8715</v>
      </c>
      <c r="Z48" s="251">
        <v>1.17</v>
      </c>
      <c r="AA48" s="251">
        <v>66.74</v>
      </c>
      <c r="AB48" s="251">
        <v>464</v>
      </c>
      <c r="AC48" s="242">
        <f t="shared" si="7"/>
        <v>183.523318965517</v>
      </c>
      <c r="AD48" s="242"/>
      <c r="AE48" s="205"/>
      <c r="AF48" s="243">
        <f t="shared" si="8"/>
        <v>0.0814127637280059</v>
      </c>
      <c r="AG48" s="244">
        <f t="shared" si="9"/>
        <v>1.25814192633305</v>
      </c>
      <c r="AH48" s="245">
        <f t="shared" si="10"/>
        <v>1.69540091308009</v>
      </c>
      <c r="AI48" s="246">
        <f t="shared" si="11"/>
        <v>0.0647087280250563</v>
      </c>
      <c r="AJ48" s="208">
        <f t="shared" si="12"/>
        <v>0.331966620949819</v>
      </c>
      <c r="AK48" s="208">
        <f t="shared" si="13"/>
        <v>0.0218961925446567</v>
      </c>
      <c r="AL48" s="205"/>
      <c r="AM48" s="205"/>
      <c r="AN48" s="205"/>
      <c r="AO48" s="205"/>
      <c r="AP48" s="205"/>
      <c r="AQ48" s="205"/>
      <c r="AR48" s="205"/>
      <c r="AS48" s="205"/>
      <c r="AT48" s="205"/>
      <c r="AU48" s="205"/>
      <c r="AV48" s="205"/>
      <c r="AW48" s="205"/>
      <c r="AX48" s="205"/>
      <c r="AY48" s="205"/>
      <c r="AZ48" s="205"/>
      <c r="BA48" s="205"/>
      <c r="BB48" s="205"/>
      <c r="BC48" s="205"/>
      <c r="BD48" s="205"/>
      <c r="BE48" s="205"/>
      <c r="BF48" s="205"/>
      <c r="BG48" s="205"/>
      <c r="BH48" s="205"/>
    </row>
    <row r="49" ht="14.5" hidden="1" outlineLevel="1" spans="1:60">
      <c r="A49" s="236">
        <v>45522</v>
      </c>
      <c r="B49" s="102">
        <v>76339.96</v>
      </c>
      <c r="C49" s="102">
        <v>964998</v>
      </c>
      <c r="D49" s="249">
        <v>0.0477</v>
      </c>
      <c r="E49" s="102">
        <v>46028</v>
      </c>
      <c r="F49" s="250">
        <v>79.11</v>
      </c>
      <c r="G49" s="251">
        <v>1.38</v>
      </c>
      <c r="H49" s="254">
        <v>1358</v>
      </c>
      <c r="I49" s="102">
        <v>72764.83</v>
      </c>
      <c r="J49" s="254">
        <v>1322</v>
      </c>
      <c r="K49" s="102">
        <v>71078.59</v>
      </c>
      <c r="L49" s="102">
        <v>32517.81</v>
      </c>
      <c r="M49" s="251">
        <v>1.36</v>
      </c>
      <c r="N49" s="250">
        <v>1.66</v>
      </c>
      <c r="O49" s="254">
        <v>1313</v>
      </c>
      <c r="P49" s="249">
        <v>0.0285</v>
      </c>
      <c r="Q49" s="251">
        <v>58.14</v>
      </c>
      <c r="R49" s="250">
        <v>53.77</v>
      </c>
      <c r="S49" s="102">
        <v>55437</v>
      </c>
      <c r="T49" s="251">
        <v>0</v>
      </c>
      <c r="U49" s="252">
        <v>0</v>
      </c>
      <c r="V49" s="251">
        <v>0</v>
      </c>
      <c r="W49" s="253">
        <v>7830.3</v>
      </c>
      <c r="X49" s="252">
        <v>0.1102</v>
      </c>
      <c r="Y49" s="252">
        <v>0.8898</v>
      </c>
      <c r="Z49" s="251">
        <v>1.21</v>
      </c>
      <c r="AA49" s="251">
        <v>65.58</v>
      </c>
      <c r="AB49" s="251">
        <v>383</v>
      </c>
      <c r="AC49" s="242">
        <f t="shared" si="7"/>
        <v>199.321044386423</v>
      </c>
      <c r="AD49" s="242"/>
      <c r="AE49" s="205"/>
      <c r="AF49" s="243">
        <f t="shared" si="8"/>
        <v>0.0791089307957115</v>
      </c>
      <c r="AG49" s="244">
        <f t="shared" si="9"/>
        <v>1.3770579216047</v>
      </c>
      <c r="AH49" s="245">
        <f t="shared" si="10"/>
        <v>1.86872305499937</v>
      </c>
      <c r="AI49" s="246">
        <f t="shared" si="11"/>
        <v>0.0574477874565543</v>
      </c>
      <c r="AJ49" s="208">
        <f t="shared" si="12"/>
        <v>0.313889382256526</v>
      </c>
      <c r="AK49" s="208">
        <f t="shared" si="13"/>
        <v>0.0236845428143659</v>
      </c>
      <c r="AL49" s="205"/>
      <c r="AM49" s="205"/>
      <c r="AN49" s="205"/>
      <c r="AO49" s="205"/>
      <c r="AP49" s="205"/>
      <c r="AQ49" s="205"/>
      <c r="AR49" s="205"/>
      <c r="AS49" s="205"/>
      <c r="AT49" s="205"/>
      <c r="AU49" s="205"/>
      <c r="AV49" s="205"/>
      <c r="AW49" s="205"/>
      <c r="AX49" s="205"/>
      <c r="AY49" s="205"/>
      <c r="AZ49" s="205"/>
      <c r="BA49" s="205"/>
      <c r="BB49" s="205"/>
      <c r="BC49" s="205"/>
      <c r="BD49" s="205"/>
      <c r="BE49" s="205"/>
      <c r="BF49" s="205"/>
      <c r="BG49" s="205"/>
      <c r="BH49" s="205"/>
    </row>
    <row r="50" ht="14.5" hidden="1" outlineLevel="1" spans="1:60">
      <c r="A50" s="236">
        <v>45523</v>
      </c>
      <c r="B50" s="102">
        <v>74183.22</v>
      </c>
      <c r="C50" s="102">
        <v>1172363</v>
      </c>
      <c r="D50" s="249">
        <v>0.0517</v>
      </c>
      <c r="E50" s="102">
        <v>60577</v>
      </c>
      <c r="F50" s="250">
        <v>63.28</v>
      </c>
      <c r="G50" s="251">
        <v>1.3</v>
      </c>
      <c r="H50" s="254">
        <v>1243</v>
      </c>
      <c r="I50" s="102">
        <v>65999.73</v>
      </c>
      <c r="J50" s="254">
        <v>1219</v>
      </c>
      <c r="K50" s="102">
        <v>64976.49</v>
      </c>
      <c r="L50" s="102">
        <v>30273.01</v>
      </c>
      <c r="M50" s="251">
        <v>1.28</v>
      </c>
      <c r="N50" s="250">
        <v>1.22</v>
      </c>
      <c r="O50" s="254">
        <v>1897</v>
      </c>
      <c r="P50" s="249">
        <v>0.0313</v>
      </c>
      <c r="Q50" s="251">
        <v>39.11</v>
      </c>
      <c r="R50" s="250">
        <v>53.3</v>
      </c>
      <c r="S50" s="102">
        <v>68083</v>
      </c>
      <c r="T50" s="251">
        <v>692</v>
      </c>
      <c r="U50" s="252">
        <v>0.4232</v>
      </c>
      <c r="V50" s="251">
        <v>1.15</v>
      </c>
      <c r="W50" s="253">
        <v>8819.72</v>
      </c>
      <c r="X50" s="252">
        <v>0.1357</v>
      </c>
      <c r="Y50" s="252">
        <v>0.8643</v>
      </c>
      <c r="Z50" s="251">
        <v>1.11</v>
      </c>
      <c r="AA50" s="251">
        <v>70.92</v>
      </c>
      <c r="AB50" s="251">
        <v>499</v>
      </c>
      <c r="AC50" s="242">
        <f t="shared" si="7"/>
        <v>148.66376753507</v>
      </c>
      <c r="AD50" s="242"/>
      <c r="AE50" s="205"/>
      <c r="AF50" s="243">
        <f t="shared" si="8"/>
        <v>0.0632766643096038</v>
      </c>
      <c r="AG50" s="244">
        <f t="shared" si="9"/>
        <v>1.08959975324237</v>
      </c>
      <c r="AH50" s="245">
        <f t="shared" si="10"/>
        <v>1.39902031344095</v>
      </c>
      <c r="AI50" s="246">
        <f t="shared" si="11"/>
        <v>0.0580733100584034</v>
      </c>
      <c r="AJ50" s="208">
        <f t="shared" si="12"/>
        <v>0.317828545031732</v>
      </c>
      <c r="AK50" s="208">
        <f t="shared" si="13"/>
        <v>0.0278630495130943</v>
      </c>
      <c r="AL50" s="205"/>
      <c r="AM50" s="205"/>
      <c r="AN50" s="205"/>
      <c r="AO50" s="205"/>
      <c r="AP50" s="205"/>
      <c r="AQ50" s="205"/>
      <c r="AR50" s="205"/>
      <c r="AS50" s="205"/>
      <c r="AT50" s="205"/>
      <c r="AU50" s="205"/>
      <c r="AV50" s="205"/>
      <c r="AW50" s="205"/>
      <c r="AX50" s="205"/>
      <c r="AY50" s="205"/>
      <c r="AZ50" s="205"/>
      <c r="BA50" s="205"/>
      <c r="BB50" s="205"/>
      <c r="BC50" s="205"/>
      <c r="BD50" s="205"/>
      <c r="BE50" s="205"/>
      <c r="BF50" s="205"/>
      <c r="BG50" s="205"/>
      <c r="BH50" s="205"/>
    </row>
    <row r="51" ht="14.5" hidden="1" outlineLevel="1" spans="1:60">
      <c r="A51" s="236">
        <v>45524</v>
      </c>
      <c r="B51" s="102">
        <v>73281.16</v>
      </c>
      <c r="C51" s="102">
        <v>985781</v>
      </c>
      <c r="D51" s="249">
        <v>0.0537</v>
      </c>
      <c r="E51" s="102">
        <v>52976</v>
      </c>
      <c r="F51" s="250">
        <v>74.34</v>
      </c>
      <c r="G51" s="251">
        <v>1.35</v>
      </c>
      <c r="H51" s="254">
        <v>1266</v>
      </c>
      <c r="I51" s="102">
        <v>67320.86</v>
      </c>
      <c r="J51" s="254">
        <v>1246</v>
      </c>
      <c r="K51" s="102">
        <v>66149.96</v>
      </c>
      <c r="L51" s="102">
        <v>31395.68</v>
      </c>
      <c r="M51" s="251">
        <v>1.33</v>
      </c>
      <c r="N51" s="250">
        <v>1.38</v>
      </c>
      <c r="O51" s="254">
        <v>1744</v>
      </c>
      <c r="P51" s="249">
        <v>0.0329</v>
      </c>
      <c r="Q51" s="251">
        <v>42.02</v>
      </c>
      <c r="R51" s="250">
        <v>53.09</v>
      </c>
      <c r="S51" s="102">
        <v>60980</v>
      </c>
      <c r="T51" s="251">
        <v>512</v>
      </c>
      <c r="U51" s="252">
        <v>0.4384</v>
      </c>
      <c r="V51" s="251">
        <v>0.66</v>
      </c>
      <c r="W51" s="253">
        <v>8437.79</v>
      </c>
      <c r="X51" s="252">
        <v>0.1276</v>
      </c>
      <c r="Y51" s="252">
        <v>0.8724</v>
      </c>
      <c r="Z51" s="251">
        <v>1.16</v>
      </c>
      <c r="AA51" s="251">
        <v>68.11</v>
      </c>
      <c r="AB51" s="251">
        <v>428</v>
      </c>
      <c r="AC51" s="242">
        <f t="shared" si="7"/>
        <v>171.217663551402</v>
      </c>
      <c r="AD51" s="242"/>
      <c r="AE51" s="205"/>
      <c r="AF51" s="243">
        <f t="shared" si="8"/>
        <v>0.0743381745032619</v>
      </c>
      <c r="AG51" s="244">
        <f t="shared" si="9"/>
        <v>1.20172449983601</v>
      </c>
      <c r="AH51" s="245">
        <f t="shared" si="10"/>
        <v>1.59963332240079</v>
      </c>
      <c r="AI51" s="246">
        <f t="shared" si="11"/>
        <v>0.0618595813877525</v>
      </c>
      <c r="AJ51" s="208">
        <f t="shared" si="12"/>
        <v>0.321856312593777</v>
      </c>
      <c r="AK51" s="208">
        <f t="shared" si="13"/>
        <v>0.02859954083306</v>
      </c>
      <c r="AL51" s="205"/>
      <c r="AM51" s="205"/>
      <c r="AN51" s="205"/>
      <c r="AO51" s="205"/>
      <c r="AP51" s="205"/>
      <c r="AQ51" s="205"/>
      <c r="AR51" s="205"/>
      <c r="AS51" s="205"/>
      <c r="AT51" s="205"/>
      <c r="AU51" s="205"/>
      <c r="AV51" s="205"/>
      <c r="AW51" s="205"/>
      <c r="AX51" s="205"/>
      <c r="AY51" s="205"/>
      <c r="AZ51" s="205"/>
      <c r="BA51" s="205"/>
      <c r="BB51" s="205"/>
      <c r="BC51" s="205"/>
      <c r="BD51" s="205"/>
      <c r="BE51" s="205"/>
      <c r="BF51" s="205"/>
      <c r="BG51" s="205"/>
      <c r="BH51" s="205"/>
    </row>
    <row r="52" ht="14.5" hidden="1" outlineLevel="1" spans="1:60">
      <c r="A52" s="236">
        <v>45525</v>
      </c>
      <c r="B52" s="102">
        <v>53693.22</v>
      </c>
      <c r="C52" s="102">
        <v>584072</v>
      </c>
      <c r="D52" s="249">
        <v>0.0501</v>
      </c>
      <c r="E52" s="102">
        <v>29259</v>
      </c>
      <c r="F52" s="250">
        <v>91.93</v>
      </c>
      <c r="G52" s="251">
        <v>1.36</v>
      </c>
      <c r="H52" s="251">
        <v>937</v>
      </c>
      <c r="I52" s="102">
        <v>49540.46</v>
      </c>
      <c r="J52" s="251">
        <v>927</v>
      </c>
      <c r="K52" s="102">
        <v>48995.06</v>
      </c>
      <c r="L52" s="102">
        <v>23574.84</v>
      </c>
      <c r="M52" s="251">
        <v>1.35</v>
      </c>
      <c r="N52" s="250">
        <v>1.84</v>
      </c>
      <c r="O52" s="251">
        <v>920</v>
      </c>
      <c r="P52" s="249">
        <v>0.0314</v>
      </c>
      <c r="Q52" s="251">
        <v>58.36</v>
      </c>
      <c r="R52" s="250">
        <v>52.85</v>
      </c>
      <c r="S52" s="102">
        <v>33809</v>
      </c>
      <c r="T52" s="251">
        <v>2</v>
      </c>
      <c r="U52" s="252">
        <v>0</v>
      </c>
      <c r="V52" s="251">
        <v>0</v>
      </c>
      <c r="W52" s="253">
        <v>6275.01</v>
      </c>
      <c r="X52" s="252">
        <v>0.1281</v>
      </c>
      <c r="Y52" s="252">
        <v>0.8719</v>
      </c>
      <c r="Z52" s="251">
        <v>1.17</v>
      </c>
      <c r="AA52" s="251">
        <v>67.71</v>
      </c>
      <c r="AB52" s="251">
        <v>269</v>
      </c>
      <c r="AC52" s="242">
        <f t="shared" si="7"/>
        <v>199.603048327138</v>
      </c>
      <c r="AD52" s="242"/>
      <c r="AE52" s="205"/>
      <c r="AF52" s="243">
        <f t="shared" si="8"/>
        <v>0.0919291114794066</v>
      </c>
      <c r="AG52" s="244">
        <f t="shared" si="9"/>
        <v>1.58813392883552</v>
      </c>
      <c r="AH52" s="245">
        <f t="shared" si="10"/>
        <v>2.14646691709308</v>
      </c>
      <c r="AI52" s="246">
        <f t="shared" si="11"/>
        <v>0.0578849867824515</v>
      </c>
      <c r="AJ52" s="208">
        <f t="shared" si="12"/>
        <v>0.324856999940747</v>
      </c>
      <c r="AK52" s="208">
        <f t="shared" si="13"/>
        <v>0.0272116891951847</v>
      </c>
      <c r="AL52" s="205"/>
      <c r="AM52" s="205"/>
      <c r="AN52" s="205"/>
      <c r="AO52" s="205"/>
      <c r="AP52" s="205"/>
      <c r="AQ52" s="205"/>
      <c r="AR52" s="205"/>
      <c r="AS52" s="205"/>
      <c r="AT52" s="205"/>
      <c r="AU52" s="205"/>
      <c r="AV52" s="205"/>
      <c r="AW52" s="205"/>
      <c r="AX52" s="205"/>
      <c r="AY52" s="205"/>
      <c r="AZ52" s="205"/>
      <c r="BA52" s="205"/>
      <c r="BB52" s="205"/>
      <c r="BC52" s="205"/>
      <c r="BD52" s="205"/>
      <c r="BE52" s="205"/>
      <c r="BF52" s="205"/>
      <c r="BG52" s="205"/>
      <c r="BH52" s="205"/>
    </row>
    <row r="53" ht="14.5" hidden="1" outlineLevel="1" spans="1:60">
      <c r="A53" s="236">
        <v>45526</v>
      </c>
      <c r="B53" s="102">
        <v>78754.99</v>
      </c>
      <c r="C53" s="102">
        <v>1042301</v>
      </c>
      <c r="D53" s="249">
        <v>0.053</v>
      </c>
      <c r="E53" s="102">
        <v>55259</v>
      </c>
      <c r="F53" s="250">
        <v>75.56</v>
      </c>
      <c r="G53" s="251">
        <v>1.39</v>
      </c>
      <c r="H53" s="254">
        <v>1433</v>
      </c>
      <c r="I53" s="102">
        <v>73255.17</v>
      </c>
      <c r="J53" s="254">
        <v>1406</v>
      </c>
      <c r="K53" s="102">
        <v>72085.07</v>
      </c>
      <c r="L53" s="102">
        <v>36038.63</v>
      </c>
      <c r="M53" s="251">
        <v>1.37</v>
      </c>
      <c r="N53" s="250">
        <v>1.43</v>
      </c>
      <c r="O53" s="254">
        <v>1397</v>
      </c>
      <c r="P53" s="249">
        <v>0.0253</v>
      </c>
      <c r="Q53" s="251">
        <v>56.37</v>
      </c>
      <c r="R53" s="250">
        <v>51.27</v>
      </c>
      <c r="S53" s="102">
        <v>67830</v>
      </c>
      <c r="T53" s="251">
        <v>0</v>
      </c>
      <c r="U53" s="252">
        <v>0</v>
      </c>
      <c r="V53" s="251">
        <v>0</v>
      </c>
      <c r="W53" s="253">
        <v>10841.12</v>
      </c>
      <c r="X53" s="252">
        <v>0.1504</v>
      </c>
      <c r="Y53" s="252">
        <v>0.8496</v>
      </c>
      <c r="Z53" s="251">
        <v>1.16</v>
      </c>
      <c r="AA53" s="251">
        <v>67.03</v>
      </c>
      <c r="AB53" s="251">
        <v>506</v>
      </c>
      <c r="AC53" s="242">
        <f t="shared" si="7"/>
        <v>155.642272727273</v>
      </c>
      <c r="AD53" s="242"/>
      <c r="AE53" s="205"/>
      <c r="AF53" s="243">
        <f t="shared" si="8"/>
        <v>0.0755587781264721</v>
      </c>
      <c r="AG53" s="244">
        <f t="shared" si="9"/>
        <v>1.16106427834292</v>
      </c>
      <c r="AH53" s="245">
        <f t="shared" si="10"/>
        <v>1.59403951054106</v>
      </c>
      <c r="AI53" s="246">
        <f t="shared" si="11"/>
        <v>0.0650771706061877</v>
      </c>
      <c r="AJ53" s="208">
        <f t="shared" si="12"/>
        <v>0.333309255972557</v>
      </c>
      <c r="AK53" s="208">
        <f t="shared" si="13"/>
        <v>0.0205956066637181</v>
      </c>
      <c r="AL53" s="205"/>
      <c r="AM53" s="205"/>
      <c r="AN53" s="205"/>
      <c r="AO53" s="205"/>
      <c r="AP53" s="205"/>
      <c r="AQ53" s="205"/>
      <c r="AR53" s="205"/>
      <c r="AS53" s="205"/>
      <c r="AT53" s="205"/>
      <c r="AU53" s="205"/>
      <c r="AV53" s="205"/>
      <c r="AW53" s="205"/>
      <c r="AX53" s="205"/>
      <c r="AY53" s="205"/>
      <c r="AZ53" s="205"/>
      <c r="BA53" s="205"/>
      <c r="BB53" s="205"/>
      <c r="BC53" s="205"/>
      <c r="BD53" s="205"/>
      <c r="BE53" s="205"/>
      <c r="BF53" s="205"/>
      <c r="BG53" s="205"/>
      <c r="BH53" s="205"/>
    </row>
    <row r="54" ht="14.5" hidden="1" outlineLevel="1" spans="1:60">
      <c r="A54" s="236">
        <v>45527</v>
      </c>
      <c r="B54" s="102">
        <v>73876.95</v>
      </c>
      <c r="C54" s="102">
        <v>928552</v>
      </c>
      <c r="D54" s="249">
        <v>0.0481</v>
      </c>
      <c r="E54" s="102">
        <v>44657</v>
      </c>
      <c r="F54" s="250">
        <v>79.56</v>
      </c>
      <c r="G54" s="251">
        <v>1.34</v>
      </c>
      <c r="H54" s="254">
        <v>1302</v>
      </c>
      <c r="I54" s="102">
        <v>66108.05</v>
      </c>
      <c r="J54" s="254">
        <v>1282</v>
      </c>
      <c r="K54" s="102">
        <v>65386.99</v>
      </c>
      <c r="L54" s="102">
        <v>32673.01</v>
      </c>
      <c r="M54" s="251">
        <v>1.33</v>
      </c>
      <c r="N54" s="250">
        <v>1.65</v>
      </c>
      <c r="O54" s="254">
        <v>1279</v>
      </c>
      <c r="P54" s="249">
        <v>0.0286</v>
      </c>
      <c r="Q54" s="251">
        <v>57.76</v>
      </c>
      <c r="R54" s="250">
        <v>51</v>
      </c>
      <c r="S54" s="102">
        <v>56042</v>
      </c>
      <c r="T54" s="251">
        <v>5</v>
      </c>
      <c r="U54" s="252">
        <v>0</v>
      </c>
      <c r="V54" s="251">
        <v>0</v>
      </c>
      <c r="W54" s="253">
        <v>7743.01</v>
      </c>
      <c r="X54" s="252">
        <v>0.1184</v>
      </c>
      <c r="Y54" s="252">
        <v>0.8816</v>
      </c>
      <c r="Z54" s="251">
        <v>1.17</v>
      </c>
      <c r="AA54" s="251">
        <v>65.96</v>
      </c>
      <c r="AB54" s="251">
        <v>364</v>
      </c>
      <c r="AC54" s="242">
        <f t="shared" si="7"/>
        <v>202.958653846154</v>
      </c>
      <c r="AD54" s="242"/>
      <c r="AE54" s="205"/>
      <c r="AF54" s="243">
        <f t="shared" si="8"/>
        <v>0.0795614569781768</v>
      </c>
      <c r="AG54" s="244">
        <f t="shared" si="9"/>
        <v>1.31824256807394</v>
      </c>
      <c r="AH54" s="245">
        <f t="shared" si="10"/>
        <v>1.7497591092395</v>
      </c>
      <c r="AI54" s="246">
        <f t="shared" si="11"/>
        <v>0.0603541858721967</v>
      </c>
      <c r="AJ54" s="208">
        <f t="shared" si="12"/>
        <v>0.33319406485825</v>
      </c>
      <c r="AK54" s="208">
        <f t="shared" si="13"/>
        <v>0.0228221690874701</v>
      </c>
      <c r="AL54" s="205"/>
      <c r="AM54" s="205"/>
      <c r="AN54" s="205"/>
      <c r="AO54" s="205"/>
      <c r="AP54" s="205"/>
      <c r="AQ54" s="205"/>
      <c r="AR54" s="205"/>
      <c r="AS54" s="205"/>
      <c r="AT54" s="205"/>
      <c r="AU54" s="205"/>
      <c r="AV54" s="205"/>
      <c r="AW54" s="205"/>
      <c r="AX54" s="205"/>
      <c r="AY54" s="205"/>
      <c r="AZ54" s="205"/>
      <c r="BA54" s="205"/>
      <c r="BB54" s="205"/>
      <c r="BC54" s="205"/>
      <c r="BD54" s="205"/>
      <c r="BE54" s="205"/>
      <c r="BF54" s="205"/>
      <c r="BG54" s="205"/>
      <c r="BH54" s="205"/>
    </row>
    <row r="55" ht="14.5" hidden="1" outlineLevel="1" spans="1:60">
      <c r="A55" s="236">
        <v>45528</v>
      </c>
      <c r="B55" s="102">
        <v>88854.37</v>
      </c>
      <c r="C55" s="102">
        <v>1063589</v>
      </c>
      <c r="D55" s="249">
        <v>0.0498</v>
      </c>
      <c r="E55" s="102">
        <v>52949</v>
      </c>
      <c r="F55" s="250">
        <v>83.54</v>
      </c>
      <c r="G55" s="251">
        <v>1.38</v>
      </c>
      <c r="H55" s="254">
        <v>1610</v>
      </c>
      <c r="I55" s="102">
        <v>81177.39</v>
      </c>
      <c r="J55" s="254">
        <v>1576</v>
      </c>
      <c r="K55" s="102">
        <v>79869.69</v>
      </c>
      <c r="L55" s="102">
        <v>41379.66</v>
      </c>
      <c r="M55" s="251">
        <v>1.36</v>
      </c>
      <c r="N55" s="250">
        <v>1.68</v>
      </c>
      <c r="O55" s="254">
        <v>1576</v>
      </c>
      <c r="P55" s="249">
        <v>0.0298</v>
      </c>
      <c r="Q55" s="251">
        <v>56.38</v>
      </c>
      <c r="R55" s="250">
        <v>50.68</v>
      </c>
      <c r="S55" s="102">
        <v>67393</v>
      </c>
      <c r="T55" s="251">
        <v>7</v>
      </c>
      <c r="U55" s="252">
        <v>0</v>
      </c>
      <c r="V55" s="251">
        <v>0</v>
      </c>
      <c r="W55" s="253">
        <v>10092.65</v>
      </c>
      <c r="X55" s="252">
        <v>0.1264</v>
      </c>
      <c r="Y55" s="252">
        <v>0.8736</v>
      </c>
      <c r="Z55" s="251">
        <v>1.19</v>
      </c>
      <c r="AA55" s="251">
        <v>65.38</v>
      </c>
      <c r="AB55" s="251">
        <v>464</v>
      </c>
      <c r="AC55" s="242">
        <f t="shared" si="7"/>
        <v>191.496487068966</v>
      </c>
      <c r="AD55" s="242"/>
      <c r="AE55" s="205"/>
      <c r="AF55" s="243">
        <f t="shared" si="8"/>
        <v>0.0835420167000599</v>
      </c>
      <c r="AG55" s="244">
        <f t="shared" si="9"/>
        <v>1.31845102607096</v>
      </c>
      <c r="AH55" s="245">
        <f t="shared" si="10"/>
        <v>1.79913863457629</v>
      </c>
      <c r="AI55" s="246">
        <f t="shared" si="11"/>
        <v>0.0633637617538354</v>
      </c>
      <c r="AJ55" s="208">
        <f t="shared" si="12"/>
        <v>0.341277375919953</v>
      </c>
      <c r="AK55" s="208">
        <f t="shared" si="13"/>
        <v>0.0233852180493523</v>
      </c>
      <c r="AL55" s="205"/>
      <c r="AM55" s="205"/>
      <c r="AN55" s="205"/>
      <c r="AO55" s="205"/>
      <c r="AP55" s="205"/>
      <c r="AQ55" s="205"/>
      <c r="AR55" s="205"/>
      <c r="AS55" s="205"/>
      <c r="AT55" s="205"/>
      <c r="AU55" s="205"/>
      <c r="AV55" s="205"/>
      <c r="AW55" s="205"/>
      <c r="AX55" s="205"/>
      <c r="AY55" s="205"/>
      <c r="AZ55" s="205"/>
      <c r="BA55" s="205"/>
      <c r="BB55" s="205"/>
      <c r="BC55" s="205"/>
      <c r="BD55" s="205"/>
      <c r="BE55" s="205"/>
      <c r="BF55" s="205"/>
      <c r="BG55" s="205"/>
      <c r="BH55" s="205"/>
    </row>
    <row r="56" ht="14.5" hidden="1" outlineLevel="1" spans="1:60">
      <c r="A56" s="236">
        <v>45529</v>
      </c>
      <c r="B56" s="102">
        <v>90225.78</v>
      </c>
      <c r="C56" s="102">
        <v>1067618</v>
      </c>
      <c r="D56" s="249">
        <v>0.0573</v>
      </c>
      <c r="E56" s="102">
        <v>61142</v>
      </c>
      <c r="F56" s="250">
        <v>84.51</v>
      </c>
      <c r="G56" s="251">
        <v>1.29</v>
      </c>
      <c r="H56" s="254">
        <v>1525</v>
      </c>
      <c r="I56" s="102">
        <v>78343.03</v>
      </c>
      <c r="J56" s="254">
        <v>1494</v>
      </c>
      <c r="K56" s="102">
        <v>76962.93</v>
      </c>
      <c r="L56" s="102">
        <v>38298.37</v>
      </c>
      <c r="M56" s="251">
        <v>1.28</v>
      </c>
      <c r="N56" s="250">
        <v>1.48</v>
      </c>
      <c r="O56" s="254">
        <v>1730</v>
      </c>
      <c r="P56" s="249">
        <v>0.0283</v>
      </c>
      <c r="Q56" s="251">
        <v>52.15</v>
      </c>
      <c r="R56" s="250">
        <v>51.51</v>
      </c>
      <c r="S56" s="102">
        <v>77308</v>
      </c>
      <c r="T56" s="251">
        <v>249</v>
      </c>
      <c r="U56" s="252">
        <v>0.4807</v>
      </c>
      <c r="V56" s="251">
        <v>0.71</v>
      </c>
      <c r="W56" s="253">
        <v>9188.25</v>
      </c>
      <c r="X56" s="252">
        <v>0.1194</v>
      </c>
      <c r="Y56" s="252">
        <v>0.8806</v>
      </c>
      <c r="Z56" s="251">
        <v>1.13</v>
      </c>
      <c r="AA56" s="251">
        <v>68.98</v>
      </c>
      <c r="AB56" s="251">
        <v>458</v>
      </c>
      <c r="AC56" s="242">
        <f t="shared" si="7"/>
        <v>196.999519650655</v>
      </c>
      <c r="AD56" s="242"/>
      <c r="AE56" s="205"/>
      <c r="AF56" s="243">
        <f t="shared" si="8"/>
        <v>0.0845112952385591</v>
      </c>
      <c r="AG56" s="244">
        <f t="shared" si="9"/>
        <v>1.16709499663683</v>
      </c>
      <c r="AH56" s="245">
        <f t="shared" si="10"/>
        <v>1.49093625498008</v>
      </c>
      <c r="AI56" s="246">
        <f t="shared" si="11"/>
        <v>0.0724116678437419</v>
      </c>
      <c r="AJ56" s="208">
        <f t="shared" si="12"/>
        <v>0.332274319307521</v>
      </c>
      <c r="AK56" s="208">
        <f t="shared" si="13"/>
        <v>0.0223780203859885</v>
      </c>
      <c r="AL56" s="205"/>
      <c r="AM56" s="205"/>
      <c r="AN56" s="205"/>
      <c r="AO56" s="205"/>
      <c r="AP56" s="205"/>
      <c r="AQ56" s="205"/>
      <c r="AR56" s="205"/>
      <c r="AS56" s="205"/>
      <c r="AT56" s="205"/>
      <c r="AU56" s="205"/>
      <c r="AV56" s="205"/>
      <c r="AW56" s="205"/>
      <c r="AX56" s="205"/>
      <c r="AY56" s="205"/>
      <c r="AZ56" s="205"/>
      <c r="BA56" s="205"/>
      <c r="BB56" s="205"/>
      <c r="BC56" s="205"/>
      <c r="BD56" s="205"/>
      <c r="BE56" s="205"/>
      <c r="BF56" s="205"/>
      <c r="BG56" s="205"/>
      <c r="BH56" s="205"/>
    </row>
    <row r="57" ht="14.5" hidden="1" outlineLevel="1" spans="1:60">
      <c r="A57" s="236">
        <v>45530</v>
      </c>
      <c r="B57" s="102">
        <v>76885.7</v>
      </c>
      <c r="C57" s="102">
        <v>875178</v>
      </c>
      <c r="D57" s="249">
        <v>0.0565</v>
      </c>
      <c r="E57" s="102">
        <v>49412</v>
      </c>
      <c r="F57" s="250">
        <v>87.85</v>
      </c>
      <c r="G57" s="251">
        <v>1.38</v>
      </c>
      <c r="H57" s="254">
        <v>1378</v>
      </c>
      <c r="I57" s="102">
        <v>71725.16</v>
      </c>
      <c r="J57" s="254">
        <v>1349</v>
      </c>
      <c r="K57" s="102">
        <v>70679.75</v>
      </c>
      <c r="L57" s="102">
        <v>34089.45</v>
      </c>
      <c r="M57" s="251">
        <v>1.36</v>
      </c>
      <c r="N57" s="250">
        <v>1.56</v>
      </c>
      <c r="O57" s="254">
        <v>1337</v>
      </c>
      <c r="P57" s="249">
        <v>0.0271</v>
      </c>
      <c r="Q57" s="251">
        <v>57.51</v>
      </c>
      <c r="R57" s="250">
        <v>52.39</v>
      </c>
      <c r="S57" s="102">
        <v>59800</v>
      </c>
      <c r="T57" s="251">
        <v>0</v>
      </c>
      <c r="U57" s="252">
        <v>0</v>
      </c>
      <c r="V57" s="251">
        <v>0</v>
      </c>
      <c r="W57" s="253">
        <v>8890.4</v>
      </c>
      <c r="X57" s="252">
        <v>0.1258</v>
      </c>
      <c r="Y57" s="252">
        <v>0.8742</v>
      </c>
      <c r="Z57" s="251">
        <v>1.19</v>
      </c>
      <c r="AA57" s="251">
        <v>65.66</v>
      </c>
      <c r="AB57" s="251">
        <v>384</v>
      </c>
      <c r="AC57" s="242">
        <f t="shared" si="7"/>
        <v>200.223177083333</v>
      </c>
      <c r="AD57" s="242"/>
      <c r="AE57" s="205"/>
      <c r="AF57" s="243">
        <f t="shared" si="8"/>
        <v>0.0878514999234441</v>
      </c>
      <c r="AG57" s="244">
        <f t="shared" si="9"/>
        <v>1.28571404682274</v>
      </c>
      <c r="AH57" s="245">
        <f t="shared" si="10"/>
        <v>1.75199331103679</v>
      </c>
      <c r="AI57" s="246">
        <f t="shared" si="11"/>
        <v>0.068328957080731</v>
      </c>
      <c r="AJ57" s="208">
        <f t="shared" si="12"/>
        <v>0.325376637408704</v>
      </c>
      <c r="AK57" s="208">
        <f t="shared" si="13"/>
        <v>0.0223578595317726</v>
      </c>
      <c r="AL57" s="205"/>
      <c r="AM57" s="205"/>
      <c r="AN57" s="205"/>
      <c r="AO57" s="205"/>
      <c r="AP57" s="205"/>
      <c r="AQ57" s="205"/>
      <c r="AR57" s="205"/>
      <c r="AS57" s="205"/>
      <c r="AT57" s="205"/>
      <c r="AU57" s="205"/>
      <c r="AV57" s="205"/>
      <c r="AW57" s="205"/>
      <c r="AX57" s="205"/>
      <c r="AY57" s="205"/>
      <c r="AZ57" s="205"/>
      <c r="BA57" s="205"/>
      <c r="BB57" s="205"/>
      <c r="BC57" s="205"/>
      <c r="BD57" s="205"/>
      <c r="BE57" s="205"/>
      <c r="BF57" s="205"/>
      <c r="BG57" s="205"/>
      <c r="BH57" s="205"/>
    </row>
    <row r="58" ht="14.5" hidden="1" outlineLevel="1" spans="1:60">
      <c r="A58" s="236">
        <v>45531</v>
      </c>
      <c r="B58" s="102">
        <v>61652.63</v>
      </c>
      <c r="C58" s="102">
        <v>617058</v>
      </c>
      <c r="D58" s="249">
        <v>0.0558</v>
      </c>
      <c r="E58" s="102">
        <v>34444</v>
      </c>
      <c r="F58" s="250">
        <v>99.91</v>
      </c>
      <c r="G58" s="251">
        <v>1.4</v>
      </c>
      <c r="H58" s="254">
        <v>1136</v>
      </c>
      <c r="I58" s="102">
        <v>60531.18</v>
      </c>
      <c r="J58" s="254">
        <v>1104</v>
      </c>
      <c r="K58" s="102">
        <v>59074.17</v>
      </c>
      <c r="L58" s="102">
        <v>25620.71</v>
      </c>
      <c r="M58" s="251">
        <v>1.37</v>
      </c>
      <c r="N58" s="250">
        <v>1.79</v>
      </c>
      <c r="O58" s="254">
        <v>1106</v>
      </c>
      <c r="P58" s="249">
        <v>0.0321</v>
      </c>
      <c r="Q58" s="251">
        <v>55.74</v>
      </c>
      <c r="R58" s="250">
        <v>53.51</v>
      </c>
      <c r="S58" s="102">
        <v>41171</v>
      </c>
      <c r="T58" s="251">
        <v>0</v>
      </c>
      <c r="U58" s="252">
        <v>0</v>
      </c>
      <c r="V58" s="251">
        <v>0</v>
      </c>
      <c r="W58" s="253">
        <v>8108.96</v>
      </c>
      <c r="X58" s="252">
        <v>0.1373</v>
      </c>
      <c r="Y58" s="252">
        <v>0.8627</v>
      </c>
      <c r="Z58" s="251">
        <v>1.18</v>
      </c>
      <c r="AA58" s="251">
        <v>66.01</v>
      </c>
      <c r="AB58" s="251">
        <v>316</v>
      </c>
      <c r="AC58" s="242">
        <f t="shared" si="7"/>
        <v>195.103259493671</v>
      </c>
      <c r="AD58" s="242"/>
      <c r="AE58" s="205"/>
      <c r="AF58" s="243">
        <f t="shared" si="8"/>
        <v>0.0999138330594531</v>
      </c>
      <c r="AG58" s="244">
        <f t="shared" si="9"/>
        <v>1.49747710767288</v>
      </c>
      <c r="AH58" s="245">
        <f t="shared" si="10"/>
        <v>2.05714896407666</v>
      </c>
      <c r="AI58" s="246">
        <f t="shared" si="11"/>
        <v>0.0667214427168921</v>
      </c>
      <c r="AJ58" s="208">
        <f t="shared" si="12"/>
        <v>0.302506007446967</v>
      </c>
      <c r="AK58" s="208">
        <f t="shared" si="13"/>
        <v>0.0268635690170265</v>
      </c>
      <c r="AL58" s="205"/>
      <c r="AM58" s="205"/>
      <c r="AN58" s="205"/>
      <c r="AO58" s="205"/>
      <c r="AP58" s="205"/>
      <c r="AQ58" s="205"/>
      <c r="AR58" s="205"/>
      <c r="AS58" s="205"/>
      <c r="AT58" s="205"/>
      <c r="AU58" s="205"/>
      <c r="AV58" s="205"/>
      <c r="AW58" s="205"/>
      <c r="AX58" s="205"/>
      <c r="AY58" s="205"/>
      <c r="AZ58" s="205"/>
      <c r="BA58" s="205"/>
      <c r="BB58" s="205"/>
      <c r="BC58" s="205"/>
      <c r="BD58" s="205"/>
      <c r="BE58" s="205"/>
      <c r="BF58" s="205"/>
      <c r="BG58" s="205"/>
      <c r="BH58" s="205"/>
    </row>
    <row r="59" ht="14.5" hidden="1" outlineLevel="1" spans="1:60">
      <c r="A59" s="236">
        <v>45532</v>
      </c>
      <c r="B59" s="102">
        <v>53050.28</v>
      </c>
      <c r="C59" s="102">
        <v>683377</v>
      </c>
      <c r="D59" s="249">
        <v>0.0553</v>
      </c>
      <c r="E59" s="102">
        <v>37819</v>
      </c>
      <c r="F59" s="250">
        <v>77.63</v>
      </c>
      <c r="G59" s="251">
        <v>1.32</v>
      </c>
      <c r="H59" s="251">
        <v>926</v>
      </c>
      <c r="I59" s="102">
        <v>50484.8</v>
      </c>
      <c r="J59" s="251">
        <v>913</v>
      </c>
      <c r="K59" s="102">
        <v>49754.3</v>
      </c>
      <c r="L59" s="102">
        <v>19536.7</v>
      </c>
      <c r="M59" s="251">
        <v>1.31</v>
      </c>
      <c r="N59" s="250">
        <v>1.4</v>
      </c>
      <c r="O59" s="251">
        <v>911</v>
      </c>
      <c r="P59" s="249">
        <v>0.0241</v>
      </c>
      <c r="Q59" s="251">
        <v>58.23</v>
      </c>
      <c r="R59" s="250">
        <v>54.5</v>
      </c>
      <c r="S59" s="102">
        <v>44897</v>
      </c>
      <c r="T59" s="251">
        <v>1</v>
      </c>
      <c r="U59" s="252">
        <v>0</v>
      </c>
      <c r="V59" s="251">
        <v>0</v>
      </c>
      <c r="W59" s="253">
        <v>6983.44</v>
      </c>
      <c r="X59" s="252">
        <v>0.1404</v>
      </c>
      <c r="Y59" s="252">
        <v>0.8596</v>
      </c>
      <c r="Z59" s="251">
        <v>1.13</v>
      </c>
      <c r="AA59" s="251">
        <v>68.01</v>
      </c>
      <c r="AB59" s="251">
        <v>295</v>
      </c>
      <c r="AC59" s="242">
        <f t="shared" si="7"/>
        <v>179.831457627119</v>
      </c>
      <c r="AD59" s="242"/>
      <c r="AE59" s="205"/>
      <c r="AF59" s="243">
        <f t="shared" si="8"/>
        <v>0.0776295953770759</v>
      </c>
      <c r="AG59" s="244">
        <f t="shared" si="9"/>
        <v>1.18159966144731</v>
      </c>
      <c r="AH59" s="245">
        <f t="shared" si="10"/>
        <v>1.54333251664922</v>
      </c>
      <c r="AI59" s="246">
        <f t="shared" si="11"/>
        <v>0.065698728520275</v>
      </c>
      <c r="AJ59" s="208">
        <f t="shared" si="12"/>
        <v>0.281951479990186</v>
      </c>
      <c r="AK59" s="208">
        <f t="shared" si="13"/>
        <v>0.020290888032608</v>
      </c>
      <c r="AL59" s="205"/>
      <c r="AM59" s="205"/>
      <c r="AN59" s="205"/>
      <c r="AO59" s="205"/>
      <c r="AP59" s="205"/>
      <c r="AQ59" s="205"/>
      <c r="AR59" s="205"/>
      <c r="AS59" s="205"/>
      <c r="AT59" s="205"/>
      <c r="AU59" s="205"/>
      <c r="AV59" s="205"/>
      <c r="AW59" s="205"/>
      <c r="AX59" s="205"/>
      <c r="AY59" s="205"/>
      <c r="AZ59" s="205"/>
      <c r="BA59" s="205"/>
      <c r="BB59" s="205"/>
      <c r="BC59" s="205"/>
      <c r="BD59" s="205"/>
      <c r="BE59" s="205"/>
      <c r="BF59" s="205"/>
      <c r="BG59" s="205"/>
      <c r="BH59" s="205"/>
    </row>
    <row r="60" ht="14.5" hidden="1" outlineLevel="1" spans="1:60">
      <c r="A60" s="236">
        <v>45533</v>
      </c>
      <c r="B60" s="102">
        <v>60623.33</v>
      </c>
      <c r="C60" s="102">
        <v>697882</v>
      </c>
      <c r="D60" s="249">
        <v>0.0599</v>
      </c>
      <c r="E60" s="102">
        <v>41823</v>
      </c>
      <c r="F60" s="250">
        <v>86.87</v>
      </c>
      <c r="G60" s="251">
        <v>1.38</v>
      </c>
      <c r="H60" s="254">
        <v>1101</v>
      </c>
      <c r="I60" s="102">
        <v>58639.28</v>
      </c>
      <c r="J60" s="254">
        <v>1082</v>
      </c>
      <c r="K60" s="102">
        <v>57834.88</v>
      </c>
      <c r="L60" s="102">
        <v>24920.22</v>
      </c>
      <c r="M60" s="251">
        <v>1.37</v>
      </c>
      <c r="N60" s="250">
        <v>1.45</v>
      </c>
      <c r="O60" s="254">
        <v>1079</v>
      </c>
      <c r="P60" s="249">
        <v>0.0258</v>
      </c>
      <c r="Q60" s="251">
        <v>56.18</v>
      </c>
      <c r="R60" s="250">
        <v>53.45</v>
      </c>
      <c r="S60" s="102">
        <v>51887</v>
      </c>
      <c r="T60" s="251">
        <v>0</v>
      </c>
      <c r="U60" s="252">
        <v>0</v>
      </c>
      <c r="V60" s="251">
        <v>0</v>
      </c>
      <c r="W60" s="253">
        <v>7193.8</v>
      </c>
      <c r="X60" s="252">
        <v>0.1244</v>
      </c>
      <c r="Y60" s="252">
        <v>0.8756</v>
      </c>
      <c r="Z60" s="251">
        <v>1.19</v>
      </c>
      <c r="AA60" s="251">
        <v>65.19</v>
      </c>
      <c r="AB60" s="251">
        <v>265</v>
      </c>
      <c r="AC60" s="242">
        <f t="shared" si="7"/>
        <v>228.767283018868</v>
      </c>
      <c r="AD60" s="242"/>
      <c r="AE60" s="205"/>
      <c r="AF60" s="243">
        <f t="shared" si="8"/>
        <v>0.0868675936619658</v>
      </c>
      <c r="AG60" s="244">
        <f t="shared" si="9"/>
        <v>1.16837223196562</v>
      </c>
      <c r="AH60" s="245">
        <f t="shared" si="10"/>
        <v>1.5949100930869</v>
      </c>
      <c r="AI60" s="246">
        <f t="shared" si="11"/>
        <v>0.0743492452878853</v>
      </c>
      <c r="AJ60" s="208">
        <f t="shared" si="12"/>
        <v>0.301132135662938</v>
      </c>
      <c r="AK60" s="208">
        <f t="shared" si="13"/>
        <v>0.0207951895465145</v>
      </c>
      <c r="AL60" s="205"/>
      <c r="AM60" s="205"/>
      <c r="AN60" s="205"/>
      <c r="AO60" s="205"/>
      <c r="AP60" s="205"/>
      <c r="AQ60" s="205"/>
      <c r="AR60" s="205"/>
      <c r="AS60" s="205"/>
      <c r="AT60" s="205"/>
      <c r="AU60" s="205"/>
      <c r="AV60" s="205"/>
      <c r="AW60" s="205"/>
      <c r="AX60" s="205"/>
      <c r="AY60" s="205"/>
      <c r="AZ60" s="205"/>
      <c r="BA60" s="205"/>
      <c r="BB60" s="205"/>
      <c r="BC60" s="205"/>
      <c r="BD60" s="205"/>
      <c r="BE60" s="205"/>
      <c r="BF60" s="205"/>
      <c r="BG60" s="205"/>
      <c r="BH60" s="205"/>
    </row>
    <row r="61" ht="14.5" hidden="1" outlineLevel="1" spans="1:60">
      <c r="A61" s="236">
        <v>45534</v>
      </c>
      <c r="B61" s="102">
        <v>61056.15</v>
      </c>
      <c r="C61" s="102">
        <v>592158</v>
      </c>
      <c r="D61" s="249">
        <v>0.0574</v>
      </c>
      <c r="E61" s="102">
        <v>33973</v>
      </c>
      <c r="F61" s="250">
        <v>103.11</v>
      </c>
      <c r="G61" s="251">
        <v>1.37</v>
      </c>
      <c r="H61" s="254">
        <v>1090</v>
      </c>
      <c r="I61" s="102">
        <v>58696.17</v>
      </c>
      <c r="J61" s="254">
        <v>1070</v>
      </c>
      <c r="K61" s="102">
        <v>57658.47</v>
      </c>
      <c r="L61" s="102">
        <v>24864.64</v>
      </c>
      <c r="M61" s="251">
        <v>1.35</v>
      </c>
      <c r="N61" s="250">
        <v>1.8</v>
      </c>
      <c r="O61" s="254">
        <v>1067</v>
      </c>
      <c r="P61" s="249">
        <v>0.0314</v>
      </c>
      <c r="Q61" s="251">
        <v>57.22</v>
      </c>
      <c r="R61" s="250">
        <v>53.89</v>
      </c>
      <c r="S61" s="102">
        <v>41717</v>
      </c>
      <c r="T61" s="251">
        <v>0</v>
      </c>
      <c r="U61" s="252">
        <v>0</v>
      </c>
      <c r="V61" s="251">
        <v>0</v>
      </c>
      <c r="W61" s="253">
        <v>7088.16</v>
      </c>
      <c r="X61" s="252">
        <v>0.1229</v>
      </c>
      <c r="Y61" s="252">
        <v>0.8771</v>
      </c>
      <c r="Z61" s="251">
        <v>1.18</v>
      </c>
      <c r="AA61" s="251">
        <v>65.79</v>
      </c>
      <c r="AB61" s="251">
        <v>293</v>
      </c>
      <c r="AC61" s="242">
        <f t="shared" si="7"/>
        <v>208.382764505119</v>
      </c>
      <c r="AD61" s="242"/>
      <c r="AE61" s="205"/>
      <c r="AF61" s="243">
        <f t="shared" si="8"/>
        <v>0.103107869859058</v>
      </c>
      <c r="AG61" s="244">
        <f t="shared" si="9"/>
        <v>1.46357959584822</v>
      </c>
      <c r="AH61" s="245">
        <f t="shared" si="10"/>
        <v>1.97816501665987</v>
      </c>
      <c r="AI61" s="246">
        <f t="shared" si="11"/>
        <v>0.070449103110994</v>
      </c>
      <c r="AJ61" s="208">
        <f t="shared" si="12"/>
        <v>0.301305173787076</v>
      </c>
      <c r="AK61" s="208">
        <f t="shared" si="13"/>
        <v>0.0255771028597454</v>
      </c>
      <c r="AL61" s="205"/>
      <c r="AM61" s="205"/>
      <c r="AN61" s="205"/>
      <c r="AO61" s="205"/>
      <c r="AP61" s="205"/>
      <c r="AQ61" s="205"/>
      <c r="AR61" s="205"/>
      <c r="AS61" s="205"/>
      <c r="AT61" s="205"/>
      <c r="AU61" s="205"/>
      <c r="AV61" s="205"/>
      <c r="AW61" s="205"/>
      <c r="AX61" s="205"/>
      <c r="AY61" s="205"/>
      <c r="AZ61" s="205"/>
      <c r="BA61" s="205"/>
      <c r="BB61" s="205"/>
      <c r="BC61" s="205"/>
      <c r="BD61" s="205"/>
      <c r="BE61" s="205"/>
      <c r="BF61" s="205"/>
      <c r="BG61" s="205"/>
      <c r="BH61" s="205"/>
    </row>
    <row r="62" ht="14.5" hidden="1" outlineLevel="1" spans="1:60">
      <c r="A62" s="236">
        <v>45535</v>
      </c>
      <c r="B62" s="102">
        <v>44757.95</v>
      </c>
      <c r="C62" s="102">
        <v>496984</v>
      </c>
      <c r="D62" s="249">
        <v>0.0605</v>
      </c>
      <c r="E62" s="102">
        <v>30090</v>
      </c>
      <c r="F62" s="250">
        <v>90.06</v>
      </c>
      <c r="G62" s="251">
        <v>1.26</v>
      </c>
      <c r="H62" s="251">
        <v>754</v>
      </c>
      <c r="I62" s="102">
        <v>40678.07</v>
      </c>
      <c r="J62" s="251">
        <v>728</v>
      </c>
      <c r="K62" s="102">
        <v>39466.77</v>
      </c>
      <c r="L62" s="102">
        <v>15788.84</v>
      </c>
      <c r="M62" s="251">
        <v>1.23</v>
      </c>
      <c r="N62" s="250">
        <v>1.49</v>
      </c>
      <c r="O62" s="254">
        <v>1670</v>
      </c>
      <c r="P62" s="249">
        <v>0.0555</v>
      </c>
      <c r="Q62" s="251">
        <v>26.8</v>
      </c>
      <c r="R62" s="250">
        <v>54.21</v>
      </c>
      <c r="S62" s="102">
        <v>35895</v>
      </c>
      <c r="T62" s="251">
        <v>942</v>
      </c>
      <c r="U62" s="252">
        <v>0.4381</v>
      </c>
      <c r="V62" s="251">
        <v>0.41</v>
      </c>
      <c r="W62" s="253">
        <v>4772.29</v>
      </c>
      <c r="X62" s="252">
        <v>0.1209</v>
      </c>
      <c r="Y62" s="252">
        <v>0.8791</v>
      </c>
      <c r="Z62" s="251">
        <v>1.09</v>
      </c>
      <c r="AA62" s="251">
        <v>70.26</v>
      </c>
      <c r="AB62" s="251">
        <v>323</v>
      </c>
      <c r="AC62" s="242">
        <f t="shared" si="7"/>
        <v>138.569504643963</v>
      </c>
      <c r="AD62" s="242"/>
      <c r="AE62" s="205"/>
      <c r="AF62" s="243">
        <f t="shared" si="8"/>
        <v>0.0900591367126507</v>
      </c>
      <c r="AG62" s="244">
        <f t="shared" si="9"/>
        <v>1.2469132191113</v>
      </c>
      <c r="AH62" s="245">
        <f t="shared" si="10"/>
        <v>1.53936787853461</v>
      </c>
      <c r="AI62" s="246">
        <f t="shared" si="11"/>
        <v>0.0722256652125622</v>
      </c>
      <c r="AJ62" s="208">
        <f t="shared" si="12"/>
        <v>0.285741845941073</v>
      </c>
      <c r="AK62" s="208">
        <f t="shared" si="13"/>
        <v>0.0465245855968798</v>
      </c>
      <c r="AL62" s="205"/>
      <c r="AM62" s="205"/>
      <c r="AN62" s="205"/>
      <c r="AO62" s="205"/>
      <c r="AP62" s="205"/>
      <c r="AQ62" s="205"/>
      <c r="AR62" s="205"/>
      <c r="AS62" s="205"/>
      <c r="AT62" s="205"/>
      <c r="AU62" s="205"/>
      <c r="AV62" s="205"/>
      <c r="AW62" s="205"/>
      <c r="AX62" s="205"/>
      <c r="AY62" s="205"/>
      <c r="AZ62" s="205"/>
      <c r="BA62" s="205"/>
      <c r="BB62" s="205"/>
      <c r="BC62" s="205"/>
      <c r="BD62" s="205"/>
      <c r="BE62" s="205"/>
      <c r="BF62" s="205"/>
      <c r="BG62" s="205"/>
      <c r="BH62" s="205"/>
    </row>
    <row r="63" ht="14.5" collapsed="1" spans="1:60">
      <c r="A63" s="236">
        <v>45536</v>
      </c>
      <c r="B63" s="102">
        <v>102324.5</v>
      </c>
      <c r="C63" s="102">
        <v>961900</v>
      </c>
      <c r="D63" s="249">
        <v>0.0552</v>
      </c>
      <c r="E63" s="102">
        <v>53129</v>
      </c>
      <c r="F63" s="250">
        <v>106.38</v>
      </c>
      <c r="G63" s="251">
        <v>1.26</v>
      </c>
      <c r="H63" s="254">
        <v>1662</v>
      </c>
      <c r="I63" s="102">
        <v>89514</v>
      </c>
      <c r="J63" s="254">
        <v>1637</v>
      </c>
      <c r="K63" s="102">
        <v>88046.81</v>
      </c>
      <c r="L63" s="102">
        <v>39331.5</v>
      </c>
      <c r="M63" s="251">
        <v>1.24</v>
      </c>
      <c r="N63" s="250">
        <v>1.93</v>
      </c>
      <c r="O63" s="254">
        <v>1632</v>
      </c>
      <c r="P63" s="249">
        <v>0.0307</v>
      </c>
      <c r="Q63" s="251">
        <v>62.7</v>
      </c>
      <c r="R63" s="250">
        <v>53.79</v>
      </c>
      <c r="S63" s="102">
        <v>70268</v>
      </c>
      <c r="T63" s="251">
        <v>1</v>
      </c>
      <c r="U63" s="252">
        <v>0</v>
      </c>
      <c r="V63" s="251">
        <v>0</v>
      </c>
      <c r="W63" s="253">
        <v>11669.84</v>
      </c>
      <c r="X63" s="252">
        <v>0.1325</v>
      </c>
      <c r="Y63" s="252">
        <v>0.8675</v>
      </c>
      <c r="Z63" s="251">
        <v>1.08</v>
      </c>
      <c r="AA63" s="251">
        <v>72.31</v>
      </c>
      <c r="AB63" s="251">
        <v>406</v>
      </c>
      <c r="AC63" s="242">
        <f t="shared" si="7"/>
        <v>252.03078817734</v>
      </c>
      <c r="AD63" s="242"/>
      <c r="AE63" s="205"/>
      <c r="AF63" s="243">
        <f t="shared" si="8"/>
        <v>0.106377482066743</v>
      </c>
      <c r="AG63" s="244">
        <f t="shared" si="9"/>
        <v>1.456203392725</v>
      </c>
      <c r="AH63" s="245">
        <f t="shared" si="10"/>
        <v>1.8127499003814</v>
      </c>
      <c r="AI63" s="246">
        <f t="shared" si="11"/>
        <v>0.0730512527289739</v>
      </c>
      <c r="AJ63" s="208">
        <f t="shared" si="12"/>
        <v>0.308777059453843</v>
      </c>
      <c r="AK63" s="208">
        <f t="shared" si="13"/>
        <v>0.0232253657425855</v>
      </c>
      <c r="AL63" s="205"/>
      <c r="AM63" s="205"/>
      <c r="AN63" s="205"/>
      <c r="AO63" s="205"/>
      <c r="AP63" s="205"/>
      <c r="AQ63" s="205"/>
      <c r="AR63" s="205"/>
      <c r="AS63" s="205"/>
      <c r="AT63" s="205"/>
      <c r="AU63" s="205"/>
      <c r="AV63" s="205"/>
      <c r="AW63" s="205"/>
      <c r="AX63" s="205"/>
      <c r="AY63" s="205"/>
      <c r="AZ63" s="205"/>
      <c r="BA63" s="205"/>
      <c r="BB63" s="205"/>
      <c r="BC63" s="205"/>
      <c r="BD63" s="205"/>
      <c r="BE63" s="205"/>
      <c r="BF63" s="205"/>
      <c r="BG63" s="205"/>
      <c r="BH63" s="205"/>
    </row>
    <row r="64" ht="14.5" hidden="1" outlineLevel="1" spans="1:60">
      <c r="A64" s="236">
        <v>45537</v>
      </c>
      <c r="B64" s="102">
        <v>72193.54</v>
      </c>
      <c r="C64" s="102">
        <v>787276</v>
      </c>
      <c r="D64" s="249">
        <v>0.0513</v>
      </c>
      <c r="E64" s="102">
        <v>40406</v>
      </c>
      <c r="F64" s="250">
        <v>91.7</v>
      </c>
      <c r="G64" s="251">
        <v>1.22</v>
      </c>
      <c r="H64" s="254">
        <v>1158</v>
      </c>
      <c r="I64" s="102">
        <v>62065.7</v>
      </c>
      <c r="J64" s="254">
        <v>1136</v>
      </c>
      <c r="K64" s="102">
        <v>61063.69</v>
      </c>
      <c r="L64" s="102">
        <v>26071.01</v>
      </c>
      <c r="M64" s="251">
        <v>1.21</v>
      </c>
      <c r="N64" s="250">
        <v>1.79</v>
      </c>
      <c r="O64" s="254">
        <v>1135</v>
      </c>
      <c r="P64" s="249">
        <v>0.0281</v>
      </c>
      <c r="Q64" s="251">
        <v>63.61</v>
      </c>
      <c r="R64" s="250">
        <v>53.75</v>
      </c>
      <c r="S64" s="102">
        <v>52645</v>
      </c>
      <c r="T64" s="251">
        <v>0</v>
      </c>
      <c r="U64" s="252">
        <v>0</v>
      </c>
      <c r="V64" s="251">
        <v>0</v>
      </c>
      <c r="W64" s="253">
        <v>7522.74</v>
      </c>
      <c r="X64" s="252">
        <v>0.1232</v>
      </c>
      <c r="Y64" s="252">
        <v>0.8768</v>
      </c>
      <c r="Z64" s="251">
        <v>1.06</v>
      </c>
      <c r="AA64" s="251">
        <v>72.7</v>
      </c>
      <c r="AB64" s="251">
        <v>363</v>
      </c>
      <c r="AC64" s="242">
        <f t="shared" ref="AC64:AC95" si="14">B64/AB64</f>
        <v>198.880275482094</v>
      </c>
      <c r="AD64" s="242"/>
      <c r="AE64" s="205"/>
      <c r="AF64" s="243">
        <f t="shared" ref="AF64:AF95" si="15">B64/C64</f>
        <v>0.0917004201830108</v>
      </c>
      <c r="AG64" s="244">
        <f t="shared" ref="AG64:AG95" si="16">B64/S64</f>
        <v>1.37132757146928</v>
      </c>
      <c r="AH64" s="245">
        <f t="shared" ref="AH64:AH95" si="17">(K64+L64)/S64</f>
        <v>1.6551372400038</v>
      </c>
      <c r="AI64" s="246">
        <f t="shared" ref="AI64:AI95" si="18">S64/C64</f>
        <v>0.0668698143980002</v>
      </c>
      <c r="AJ64" s="208">
        <f t="shared" ref="AJ64:AJ95" si="19">L64/(K64+L64)</f>
        <v>0.29920353200275</v>
      </c>
      <c r="AK64" s="208">
        <f t="shared" si="13"/>
        <v>0.0215595023269066</v>
      </c>
      <c r="AL64" s="205"/>
      <c r="AM64" s="205"/>
      <c r="AN64" s="205"/>
      <c r="AO64" s="205"/>
      <c r="AP64" s="205"/>
      <c r="AQ64" s="205"/>
      <c r="AR64" s="205"/>
      <c r="AS64" s="205"/>
      <c r="AT64" s="205"/>
      <c r="AU64" s="205"/>
      <c r="AV64" s="205"/>
      <c r="AW64" s="205"/>
      <c r="AX64" s="205"/>
      <c r="AY64" s="205"/>
      <c r="AZ64" s="205"/>
      <c r="BA64" s="205"/>
      <c r="BB64" s="205"/>
      <c r="BC64" s="205"/>
      <c r="BD64" s="205"/>
      <c r="BE64" s="205"/>
      <c r="BF64" s="205"/>
      <c r="BG64" s="205"/>
      <c r="BH64" s="205"/>
    </row>
    <row r="65" ht="14.5" hidden="1" outlineLevel="1" spans="1:60">
      <c r="A65" s="236">
        <v>45538</v>
      </c>
      <c r="B65" s="102">
        <v>55632.58</v>
      </c>
      <c r="C65" s="102">
        <v>530441</v>
      </c>
      <c r="D65" s="249">
        <v>0.0518</v>
      </c>
      <c r="E65" s="102">
        <v>27453</v>
      </c>
      <c r="F65" s="250">
        <v>104.88</v>
      </c>
      <c r="G65" s="251">
        <v>1.25</v>
      </c>
      <c r="H65" s="251">
        <v>922</v>
      </c>
      <c r="I65" s="102">
        <v>48565.37</v>
      </c>
      <c r="J65" s="251">
        <v>896</v>
      </c>
      <c r="K65" s="102">
        <v>47268.37</v>
      </c>
      <c r="L65" s="102">
        <v>21138.55</v>
      </c>
      <c r="M65" s="251">
        <v>1.23</v>
      </c>
      <c r="N65" s="250">
        <v>2.03</v>
      </c>
      <c r="O65" s="251">
        <v>897</v>
      </c>
      <c r="P65" s="249">
        <v>0.0327</v>
      </c>
      <c r="Q65" s="251">
        <v>62.02</v>
      </c>
      <c r="R65" s="250">
        <v>52.75</v>
      </c>
      <c r="S65" s="102">
        <v>30856</v>
      </c>
      <c r="T65" s="251">
        <v>2</v>
      </c>
      <c r="U65" s="252">
        <v>0</v>
      </c>
      <c r="V65" s="251">
        <v>0</v>
      </c>
      <c r="W65" s="253">
        <v>6737.66</v>
      </c>
      <c r="X65" s="252">
        <v>0.1425</v>
      </c>
      <c r="Y65" s="252">
        <v>0.8575</v>
      </c>
      <c r="Z65" s="251">
        <v>1.06</v>
      </c>
      <c r="AA65" s="251">
        <v>72.91</v>
      </c>
      <c r="AB65" s="251">
        <v>191</v>
      </c>
      <c r="AC65" s="242">
        <f t="shared" si="14"/>
        <v>291.270052356021</v>
      </c>
      <c r="AD65" s="242"/>
      <c r="AE65" s="205"/>
      <c r="AF65" s="243">
        <f t="shared" si="15"/>
        <v>0.104879864113068</v>
      </c>
      <c r="AG65" s="244">
        <f t="shared" si="16"/>
        <v>1.80297446201711</v>
      </c>
      <c r="AH65" s="245">
        <f t="shared" si="17"/>
        <v>2.21697303603837</v>
      </c>
      <c r="AI65" s="246">
        <f t="shared" si="18"/>
        <v>0.0581704657068364</v>
      </c>
      <c r="AJ65" s="208">
        <f t="shared" si="19"/>
        <v>0.309011866050978</v>
      </c>
      <c r="AK65" s="208">
        <f t="shared" si="13"/>
        <v>0.0290705211304122</v>
      </c>
      <c r="AL65" s="205"/>
      <c r="AM65" s="205"/>
      <c r="AN65" s="205"/>
      <c r="AO65" s="205"/>
      <c r="AP65" s="205"/>
      <c r="AQ65" s="205"/>
      <c r="AR65" s="205"/>
      <c r="AS65" s="205"/>
      <c r="AT65" s="205"/>
      <c r="AU65" s="205"/>
      <c r="AV65" s="205"/>
      <c r="AW65" s="205"/>
      <c r="AX65" s="205"/>
      <c r="AY65" s="205"/>
      <c r="AZ65" s="205"/>
      <c r="BA65" s="205"/>
      <c r="BB65" s="205"/>
      <c r="BC65" s="205"/>
      <c r="BD65" s="205"/>
      <c r="BE65" s="205"/>
      <c r="BF65" s="205"/>
      <c r="BG65" s="205"/>
      <c r="BH65" s="205"/>
    </row>
    <row r="66" ht="14.5" hidden="1" outlineLevel="1" spans="1:60">
      <c r="A66" s="236">
        <v>45539</v>
      </c>
      <c r="B66" s="102">
        <v>72455.14</v>
      </c>
      <c r="C66" s="102">
        <v>771221</v>
      </c>
      <c r="D66" s="249">
        <v>0.0524</v>
      </c>
      <c r="E66" s="102">
        <v>40389</v>
      </c>
      <c r="F66" s="250">
        <v>93.95</v>
      </c>
      <c r="G66" s="251">
        <v>1.33</v>
      </c>
      <c r="H66" s="254">
        <v>1276</v>
      </c>
      <c r="I66" s="102">
        <v>67372.26</v>
      </c>
      <c r="J66" s="254">
        <v>1247</v>
      </c>
      <c r="K66" s="102">
        <v>66567.45</v>
      </c>
      <c r="L66" s="102">
        <v>29306.07</v>
      </c>
      <c r="M66" s="251">
        <v>1.32</v>
      </c>
      <c r="N66" s="250">
        <v>1.79</v>
      </c>
      <c r="O66" s="254">
        <v>1245</v>
      </c>
      <c r="P66" s="249">
        <v>0.0308</v>
      </c>
      <c r="Q66" s="251">
        <v>58.2</v>
      </c>
      <c r="R66" s="250">
        <v>53.38</v>
      </c>
      <c r="S66" s="102">
        <v>48048</v>
      </c>
      <c r="T66" s="251">
        <v>2</v>
      </c>
      <c r="U66" s="252">
        <v>0</v>
      </c>
      <c r="V66" s="251">
        <v>0</v>
      </c>
      <c r="W66" s="253">
        <v>7919.62</v>
      </c>
      <c r="X66" s="252">
        <v>0.119</v>
      </c>
      <c r="Y66" s="252">
        <v>0.881</v>
      </c>
      <c r="Z66" s="251">
        <v>1.16</v>
      </c>
      <c r="AA66" s="251">
        <v>66.9</v>
      </c>
      <c r="AB66" s="251">
        <v>377</v>
      </c>
      <c r="AC66" s="242">
        <f t="shared" si="14"/>
        <v>192.188700265252</v>
      </c>
      <c r="AD66" s="242"/>
      <c r="AE66" s="205"/>
      <c r="AF66" s="243">
        <f t="shared" si="15"/>
        <v>0.0939486087645435</v>
      </c>
      <c r="AG66" s="244">
        <f t="shared" si="16"/>
        <v>1.50797410922411</v>
      </c>
      <c r="AH66" s="245">
        <f t="shared" si="17"/>
        <v>1.99536963036963</v>
      </c>
      <c r="AI66" s="246">
        <f t="shared" si="18"/>
        <v>0.0623012080843234</v>
      </c>
      <c r="AJ66" s="208">
        <f t="shared" si="19"/>
        <v>0.305674288374934</v>
      </c>
      <c r="AK66" s="208">
        <f t="shared" si="13"/>
        <v>0.0259115884115884</v>
      </c>
      <c r="AL66" s="205"/>
      <c r="AM66" s="205"/>
      <c r="AN66" s="205"/>
      <c r="AO66" s="205"/>
      <c r="AP66" s="205"/>
      <c r="AQ66" s="205"/>
      <c r="AR66" s="205"/>
      <c r="AS66" s="205"/>
      <c r="AT66" s="205"/>
      <c r="AU66" s="205"/>
      <c r="AV66" s="205"/>
      <c r="AW66" s="205"/>
      <c r="AX66" s="205"/>
      <c r="AY66" s="205"/>
      <c r="AZ66" s="205"/>
      <c r="BA66" s="205"/>
      <c r="BB66" s="205"/>
      <c r="BC66" s="205"/>
      <c r="BD66" s="205"/>
      <c r="BE66" s="205"/>
      <c r="BF66" s="205"/>
      <c r="BG66" s="205"/>
      <c r="BH66" s="205"/>
    </row>
    <row r="67" ht="14.5" hidden="1" outlineLevel="1" spans="1:60">
      <c r="A67" s="236">
        <v>45540</v>
      </c>
      <c r="B67" s="102">
        <v>75079.01</v>
      </c>
      <c r="C67" s="102">
        <v>661776</v>
      </c>
      <c r="D67" s="249">
        <v>0.0497</v>
      </c>
      <c r="E67" s="102">
        <v>32893</v>
      </c>
      <c r="F67" s="250">
        <v>113.45</v>
      </c>
      <c r="G67" s="251">
        <v>1.32</v>
      </c>
      <c r="H67" s="254">
        <v>1287</v>
      </c>
      <c r="I67" s="102">
        <v>67860.86</v>
      </c>
      <c r="J67" s="254">
        <v>1256</v>
      </c>
      <c r="K67" s="102">
        <v>66265.58</v>
      </c>
      <c r="L67" s="102">
        <v>31453.84</v>
      </c>
      <c r="M67" s="251">
        <v>1.3</v>
      </c>
      <c r="N67" s="250">
        <v>2.28</v>
      </c>
      <c r="O67" s="254">
        <v>1254</v>
      </c>
      <c r="P67" s="249">
        <v>0.0381</v>
      </c>
      <c r="Q67" s="251">
        <v>59.87</v>
      </c>
      <c r="R67" s="250">
        <v>52.76</v>
      </c>
      <c r="S67" s="102">
        <v>37815</v>
      </c>
      <c r="T67" s="251">
        <v>2</v>
      </c>
      <c r="U67" s="252">
        <v>0</v>
      </c>
      <c r="V67" s="251">
        <v>0</v>
      </c>
      <c r="W67" s="253">
        <v>9020.9</v>
      </c>
      <c r="X67" s="252">
        <v>0.1361</v>
      </c>
      <c r="Y67" s="252">
        <v>0.8639</v>
      </c>
      <c r="Z67" s="251">
        <v>1.12</v>
      </c>
      <c r="AA67" s="251">
        <v>70.17</v>
      </c>
      <c r="AB67" s="251">
        <v>345</v>
      </c>
      <c r="AC67" s="242">
        <f t="shared" si="14"/>
        <v>217.62031884058</v>
      </c>
      <c r="AD67" s="242"/>
      <c r="AE67" s="205"/>
      <c r="AF67" s="243">
        <f t="shared" si="15"/>
        <v>0.113450789995406</v>
      </c>
      <c r="AG67" s="244">
        <f t="shared" si="16"/>
        <v>1.98542932698665</v>
      </c>
      <c r="AH67" s="245">
        <f t="shared" si="17"/>
        <v>2.58414438714796</v>
      </c>
      <c r="AI67" s="246">
        <f t="shared" si="18"/>
        <v>0.0571416914484659</v>
      </c>
      <c r="AJ67" s="208">
        <f t="shared" si="19"/>
        <v>0.321879110621</v>
      </c>
      <c r="AK67" s="208">
        <f t="shared" si="13"/>
        <v>0.0331614438714796</v>
      </c>
      <c r="AL67" s="205"/>
      <c r="AM67" s="205"/>
      <c r="AN67" s="205"/>
      <c r="AO67" s="205"/>
      <c r="AP67" s="205"/>
      <c r="AQ67" s="205"/>
      <c r="AR67" s="205"/>
      <c r="AS67" s="205"/>
      <c r="AT67" s="205"/>
      <c r="AU67" s="205"/>
      <c r="AV67" s="205"/>
      <c r="AW67" s="205"/>
      <c r="AX67" s="205"/>
      <c r="AY67" s="205"/>
      <c r="AZ67" s="205"/>
      <c r="BA67" s="205"/>
      <c r="BB67" s="205"/>
      <c r="BC67" s="205"/>
      <c r="BD67" s="205"/>
      <c r="BE67" s="205"/>
      <c r="BF67" s="205"/>
      <c r="BG67" s="205"/>
      <c r="BH67" s="205"/>
    </row>
    <row r="68" ht="14.5" hidden="1" outlineLevel="1" spans="1:60">
      <c r="A68" s="236">
        <v>45541</v>
      </c>
      <c r="B68" s="102">
        <v>111851.73</v>
      </c>
      <c r="C68" s="102">
        <v>1007722</v>
      </c>
      <c r="D68" s="249">
        <v>0.0443</v>
      </c>
      <c r="E68" s="102">
        <v>44664</v>
      </c>
      <c r="F68" s="250">
        <v>110.99</v>
      </c>
      <c r="G68" s="251">
        <v>1.34</v>
      </c>
      <c r="H68" s="254">
        <v>1942</v>
      </c>
      <c r="I68" s="102">
        <v>101781.15</v>
      </c>
      <c r="J68" s="254">
        <v>1914</v>
      </c>
      <c r="K68" s="102">
        <v>100652.84</v>
      </c>
      <c r="L68" s="102">
        <v>48535.17</v>
      </c>
      <c r="M68" s="251">
        <v>1.33</v>
      </c>
      <c r="N68" s="250">
        <v>2.5</v>
      </c>
      <c r="O68" s="254">
        <v>1905</v>
      </c>
      <c r="P68" s="249">
        <v>0.0427</v>
      </c>
      <c r="Q68" s="251">
        <v>58.71</v>
      </c>
      <c r="R68" s="250">
        <v>52.59</v>
      </c>
      <c r="S68" s="102">
        <v>48908</v>
      </c>
      <c r="T68" s="251">
        <v>0</v>
      </c>
      <c r="U68" s="252">
        <v>0</v>
      </c>
      <c r="V68" s="251">
        <v>0</v>
      </c>
      <c r="W68" s="253">
        <v>11479.38</v>
      </c>
      <c r="X68" s="252">
        <v>0.114</v>
      </c>
      <c r="Y68" s="252">
        <v>0.886</v>
      </c>
      <c r="Z68" s="251">
        <v>1.18</v>
      </c>
      <c r="AA68" s="251">
        <v>66.66</v>
      </c>
      <c r="AB68" s="251">
        <v>516</v>
      </c>
      <c r="AC68" s="242">
        <f t="shared" si="14"/>
        <v>216.766918604651</v>
      </c>
      <c r="AD68" s="242"/>
      <c r="AE68" s="205"/>
      <c r="AF68" s="243">
        <f t="shared" si="15"/>
        <v>0.110994629471223</v>
      </c>
      <c r="AG68" s="244">
        <f t="shared" si="16"/>
        <v>2.28698229328535</v>
      </c>
      <c r="AH68" s="245">
        <f t="shared" si="17"/>
        <v>3.05038051034596</v>
      </c>
      <c r="AI68" s="246">
        <f t="shared" si="18"/>
        <v>0.048533226425542</v>
      </c>
      <c r="AJ68" s="208">
        <f t="shared" si="19"/>
        <v>0.325328892047022</v>
      </c>
      <c r="AK68" s="208">
        <f t="shared" si="13"/>
        <v>0.0389506829148606</v>
      </c>
      <c r="AL68" s="205"/>
      <c r="AM68" s="205"/>
      <c r="AN68" s="205"/>
      <c r="AO68" s="205"/>
      <c r="AP68" s="205"/>
      <c r="AQ68" s="205"/>
      <c r="AR68" s="205"/>
      <c r="AS68" s="205"/>
      <c r="AT68" s="205"/>
      <c r="AU68" s="205"/>
      <c r="AV68" s="205"/>
      <c r="AW68" s="205"/>
      <c r="AX68" s="205"/>
      <c r="AY68" s="205"/>
      <c r="AZ68" s="205"/>
      <c r="BA68" s="205"/>
      <c r="BB68" s="205"/>
      <c r="BC68" s="205"/>
      <c r="BD68" s="205"/>
      <c r="BE68" s="205"/>
      <c r="BF68" s="205"/>
      <c r="BG68" s="205"/>
      <c r="BH68" s="205"/>
    </row>
    <row r="69" ht="14.5" hidden="1" outlineLevel="1" spans="1:60">
      <c r="A69" s="236">
        <v>45542</v>
      </c>
      <c r="B69" s="102">
        <v>107664.2</v>
      </c>
      <c r="C69" s="102">
        <v>1046531</v>
      </c>
      <c r="D69" s="249">
        <v>0.0483</v>
      </c>
      <c r="E69" s="102">
        <v>50593</v>
      </c>
      <c r="F69" s="250">
        <v>102.88</v>
      </c>
      <c r="G69" s="251">
        <v>1.33</v>
      </c>
      <c r="H69" s="254">
        <v>1872</v>
      </c>
      <c r="I69" s="102">
        <v>96120</v>
      </c>
      <c r="J69" s="254">
        <v>1833</v>
      </c>
      <c r="K69" s="102">
        <v>94443.69</v>
      </c>
      <c r="L69" s="102">
        <v>47341.76</v>
      </c>
      <c r="M69" s="251">
        <v>1.32</v>
      </c>
      <c r="N69" s="250">
        <v>2.13</v>
      </c>
      <c r="O69" s="254">
        <v>1827</v>
      </c>
      <c r="P69" s="249">
        <v>0.0361</v>
      </c>
      <c r="Q69" s="251">
        <v>58.93</v>
      </c>
      <c r="R69" s="250">
        <v>51.52</v>
      </c>
      <c r="S69" s="102">
        <v>54821</v>
      </c>
      <c r="T69" s="251">
        <v>0</v>
      </c>
      <c r="U69" s="252">
        <v>0</v>
      </c>
      <c r="V69" s="251">
        <v>0</v>
      </c>
      <c r="W69" s="253">
        <v>12893.73</v>
      </c>
      <c r="X69" s="252">
        <v>0.1365</v>
      </c>
      <c r="Y69" s="252">
        <v>0.8635</v>
      </c>
      <c r="Z69" s="251">
        <v>1.14</v>
      </c>
      <c r="AA69" s="251">
        <v>68.84</v>
      </c>
      <c r="AB69" s="251">
        <v>464</v>
      </c>
      <c r="AC69" s="242">
        <f t="shared" si="14"/>
        <v>232.034913793103</v>
      </c>
      <c r="AD69" s="242"/>
      <c r="AE69" s="205"/>
      <c r="AF69" s="243">
        <f t="shared" si="15"/>
        <v>0.102877220072793</v>
      </c>
      <c r="AG69" s="244">
        <f t="shared" si="16"/>
        <v>1.96392258441108</v>
      </c>
      <c r="AH69" s="245">
        <f t="shared" si="17"/>
        <v>2.58633461629667</v>
      </c>
      <c r="AI69" s="246">
        <f t="shared" si="18"/>
        <v>0.0523835414335552</v>
      </c>
      <c r="AJ69" s="208">
        <f t="shared" si="19"/>
        <v>0.333897166458194</v>
      </c>
      <c r="AK69" s="208">
        <f t="shared" ref="AK69:AK100" si="20">O69/S69</f>
        <v>0.0333266448988526</v>
      </c>
      <c r="AL69" s="205"/>
      <c r="AM69" s="205"/>
      <c r="AN69" s="205"/>
      <c r="AO69" s="205"/>
      <c r="AP69" s="205"/>
      <c r="AQ69" s="205"/>
      <c r="AR69" s="205"/>
      <c r="AS69" s="205"/>
      <c r="AT69" s="205"/>
      <c r="AU69" s="205"/>
      <c r="AV69" s="205"/>
      <c r="AW69" s="205"/>
      <c r="AX69" s="205"/>
      <c r="AY69" s="205"/>
      <c r="AZ69" s="205"/>
      <c r="BA69" s="205"/>
      <c r="BB69" s="205"/>
      <c r="BC69" s="205"/>
      <c r="BD69" s="205"/>
      <c r="BE69" s="205"/>
      <c r="BF69" s="205"/>
      <c r="BG69" s="205"/>
      <c r="BH69" s="205"/>
    </row>
    <row r="70" ht="14.5" hidden="1" outlineLevel="1" spans="1:60">
      <c r="A70" s="236">
        <v>45543</v>
      </c>
      <c r="B70" s="102">
        <v>146982.64</v>
      </c>
      <c r="C70" s="102">
        <v>1479501</v>
      </c>
      <c r="D70" s="249">
        <v>0.052</v>
      </c>
      <c r="E70" s="102">
        <v>76873</v>
      </c>
      <c r="F70" s="250">
        <v>99.35</v>
      </c>
      <c r="G70" s="251">
        <v>1.37</v>
      </c>
      <c r="H70" s="254">
        <v>2593</v>
      </c>
      <c r="I70" s="102">
        <v>134634.85</v>
      </c>
      <c r="J70" s="254">
        <v>2568</v>
      </c>
      <c r="K70" s="102">
        <v>133638.95</v>
      </c>
      <c r="L70" s="102">
        <v>67250.93</v>
      </c>
      <c r="M70" s="251">
        <v>1.37</v>
      </c>
      <c r="N70" s="250">
        <v>1.91</v>
      </c>
      <c r="O70" s="254">
        <v>2557</v>
      </c>
      <c r="P70" s="249">
        <v>0.0333</v>
      </c>
      <c r="Q70" s="251">
        <v>57.48</v>
      </c>
      <c r="R70" s="250">
        <v>52.04</v>
      </c>
      <c r="S70" s="102">
        <v>84422</v>
      </c>
      <c r="T70" s="251">
        <v>0</v>
      </c>
      <c r="U70" s="252">
        <v>0</v>
      </c>
      <c r="V70" s="251">
        <v>0</v>
      </c>
      <c r="W70" s="253">
        <v>18028.03</v>
      </c>
      <c r="X70" s="252">
        <v>0.1349</v>
      </c>
      <c r="Y70" s="252">
        <v>0.8651</v>
      </c>
      <c r="Z70" s="251">
        <v>1.18</v>
      </c>
      <c r="AA70" s="251">
        <v>66.54</v>
      </c>
      <c r="AB70" s="251">
        <v>624</v>
      </c>
      <c r="AC70" s="242">
        <f t="shared" si="14"/>
        <v>235.549102564103</v>
      </c>
      <c r="AD70" s="242"/>
      <c r="AE70" s="205"/>
      <c r="AF70" s="243">
        <f t="shared" si="15"/>
        <v>0.0993460903372151</v>
      </c>
      <c r="AG70" s="244">
        <f t="shared" si="16"/>
        <v>1.7410466466087</v>
      </c>
      <c r="AH70" s="245">
        <f t="shared" si="17"/>
        <v>2.37959157565563</v>
      </c>
      <c r="AI70" s="246">
        <f t="shared" si="18"/>
        <v>0.0570611307461097</v>
      </c>
      <c r="AJ70" s="208">
        <f t="shared" si="19"/>
        <v>0.334765145959567</v>
      </c>
      <c r="AK70" s="208">
        <f t="shared" si="20"/>
        <v>0.0302883134727915</v>
      </c>
      <c r="AL70" s="205"/>
      <c r="AM70" s="205"/>
      <c r="AN70" s="205"/>
      <c r="AO70" s="205"/>
      <c r="AP70" s="205"/>
      <c r="AQ70" s="205"/>
      <c r="AR70" s="205"/>
      <c r="AS70" s="205"/>
      <c r="AT70" s="205"/>
      <c r="AU70" s="205"/>
      <c r="AV70" s="205"/>
      <c r="AW70" s="205"/>
      <c r="AX70" s="205"/>
      <c r="AY70" s="205"/>
      <c r="AZ70" s="205"/>
      <c r="BA70" s="205"/>
      <c r="BB70" s="205"/>
      <c r="BC70" s="205"/>
      <c r="BD70" s="205"/>
      <c r="BE70" s="205"/>
      <c r="BF70" s="205"/>
      <c r="BG70" s="205"/>
      <c r="BH70" s="205"/>
    </row>
    <row r="71" ht="14.5" hidden="1" outlineLevel="1" spans="1:60">
      <c r="A71" s="236">
        <v>45544</v>
      </c>
      <c r="B71" s="102">
        <v>131753.86</v>
      </c>
      <c r="C71" s="102">
        <v>1383725</v>
      </c>
      <c r="D71" s="249">
        <v>0.046</v>
      </c>
      <c r="E71" s="102">
        <v>63667</v>
      </c>
      <c r="F71" s="250">
        <v>95.22</v>
      </c>
      <c r="G71" s="251">
        <v>1.34</v>
      </c>
      <c r="H71" s="254">
        <v>2285</v>
      </c>
      <c r="I71" s="102">
        <v>117752.44</v>
      </c>
      <c r="J71" s="254">
        <v>2249</v>
      </c>
      <c r="K71" s="102">
        <v>116466.71</v>
      </c>
      <c r="L71" s="102">
        <v>59206.18</v>
      </c>
      <c r="M71" s="251">
        <v>1.33</v>
      </c>
      <c r="N71" s="250">
        <v>2.07</v>
      </c>
      <c r="O71" s="254">
        <v>2243</v>
      </c>
      <c r="P71" s="249">
        <v>0.0352</v>
      </c>
      <c r="Q71" s="251">
        <v>58.74</v>
      </c>
      <c r="R71" s="250">
        <v>51.79</v>
      </c>
      <c r="S71" s="102">
        <v>67599</v>
      </c>
      <c r="T71" s="251">
        <v>0</v>
      </c>
      <c r="U71" s="252">
        <v>0</v>
      </c>
      <c r="V71" s="251">
        <v>0</v>
      </c>
      <c r="W71" s="253">
        <v>14829.83</v>
      </c>
      <c r="X71" s="252">
        <v>0.1273</v>
      </c>
      <c r="Y71" s="252">
        <v>0.8727</v>
      </c>
      <c r="Z71" s="251">
        <v>1.16</v>
      </c>
      <c r="AA71" s="251">
        <v>67.67</v>
      </c>
      <c r="AB71" s="251">
        <v>617</v>
      </c>
      <c r="AC71" s="242">
        <f t="shared" si="14"/>
        <v>213.539481361426</v>
      </c>
      <c r="AD71" s="242"/>
      <c r="AE71" s="205"/>
      <c r="AF71" s="243">
        <f t="shared" si="15"/>
        <v>0.0952167952447199</v>
      </c>
      <c r="AG71" s="244">
        <f t="shared" si="16"/>
        <v>1.94905042974008</v>
      </c>
      <c r="AH71" s="245">
        <f t="shared" si="17"/>
        <v>2.59874983357742</v>
      </c>
      <c r="AI71" s="246">
        <f t="shared" si="18"/>
        <v>0.0488529151384849</v>
      </c>
      <c r="AJ71" s="208">
        <f t="shared" si="19"/>
        <v>0.337025138027843</v>
      </c>
      <c r="AK71" s="208">
        <f t="shared" si="20"/>
        <v>0.033180964215447</v>
      </c>
      <c r="AL71" s="205"/>
      <c r="AM71" s="205"/>
      <c r="AN71" s="205"/>
      <c r="AO71" s="205"/>
      <c r="AP71" s="205"/>
      <c r="AQ71" s="205"/>
      <c r="AR71" s="205"/>
      <c r="AS71" s="205"/>
      <c r="AT71" s="205"/>
      <c r="AU71" s="205"/>
      <c r="AV71" s="205"/>
      <c r="AW71" s="205"/>
      <c r="AX71" s="205"/>
      <c r="AY71" s="205"/>
      <c r="AZ71" s="205"/>
      <c r="BA71" s="205"/>
      <c r="BB71" s="205"/>
      <c r="BC71" s="205"/>
      <c r="BD71" s="205"/>
      <c r="BE71" s="205"/>
      <c r="BF71" s="205"/>
      <c r="BG71" s="205"/>
      <c r="BH71" s="205"/>
    </row>
    <row r="72" ht="14.5" hidden="1" outlineLevel="1" spans="1:60">
      <c r="A72" s="236">
        <v>45545</v>
      </c>
      <c r="B72" s="102">
        <v>122478.49</v>
      </c>
      <c r="C72" s="102">
        <v>1368688</v>
      </c>
      <c r="D72" s="249">
        <v>0.0448</v>
      </c>
      <c r="E72" s="102">
        <v>61328</v>
      </c>
      <c r="F72" s="250">
        <v>89.49</v>
      </c>
      <c r="G72" s="251">
        <v>1.33</v>
      </c>
      <c r="H72" s="254">
        <v>2097</v>
      </c>
      <c r="I72" s="102">
        <v>110317.86</v>
      </c>
      <c r="J72" s="254">
        <v>2076</v>
      </c>
      <c r="K72" s="102">
        <v>109499.55</v>
      </c>
      <c r="L72" s="102">
        <v>52682.35</v>
      </c>
      <c r="M72" s="251">
        <v>1.32</v>
      </c>
      <c r="N72" s="250">
        <v>2</v>
      </c>
      <c r="O72" s="254">
        <v>2074</v>
      </c>
      <c r="P72" s="249">
        <v>0.0338</v>
      </c>
      <c r="Q72" s="251">
        <v>59.05</v>
      </c>
      <c r="R72" s="250">
        <v>52.75</v>
      </c>
      <c r="S72" s="102">
        <v>65966</v>
      </c>
      <c r="T72" s="251">
        <v>0</v>
      </c>
      <c r="U72" s="252">
        <v>0</v>
      </c>
      <c r="V72" s="251">
        <v>0</v>
      </c>
      <c r="W72" s="253">
        <v>15316.41</v>
      </c>
      <c r="X72" s="252">
        <v>0.1399</v>
      </c>
      <c r="Y72" s="252">
        <v>0.8601</v>
      </c>
      <c r="Z72" s="251">
        <v>1.14</v>
      </c>
      <c r="AA72" s="251">
        <v>69.51</v>
      </c>
      <c r="AB72" s="251">
        <v>572</v>
      </c>
      <c r="AC72" s="242">
        <f t="shared" si="14"/>
        <v>214.123234265734</v>
      </c>
      <c r="AD72" s="242"/>
      <c r="AE72" s="205"/>
      <c r="AF72" s="243">
        <f t="shared" si="15"/>
        <v>0.0894860552587588</v>
      </c>
      <c r="AG72" s="244">
        <f t="shared" si="16"/>
        <v>1.85669117424128</v>
      </c>
      <c r="AH72" s="245">
        <f t="shared" si="17"/>
        <v>2.45856805020768</v>
      </c>
      <c r="AI72" s="246">
        <f t="shared" si="18"/>
        <v>0.048196521047894</v>
      </c>
      <c r="AJ72" s="208">
        <f t="shared" si="19"/>
        <v>0.324834953838869</v>
      </c>
      <c r="AK72" s="208">
        <f t="shared" si="20"/>
        <v>0.0314404390140375</v>
      </c>
      <c r="AL72" s="205"/>
      <c r="AM72" s="205"/>
      <c r="AN72" s="205"/>
      <c r="AO72" s="205"/>
      <c r="AP72" s="205"/>
      <c r="AQ72" s="205"/>
      <c r="AR72" s="205"/>
      <c r="AS72" s="205"/>
      <c r="AT72" s="205"/>
      <c r="AU72" s="205"/>
      <c r="AV72" s="205"/>
      <c r="AW72" s="205"/>
      <c r="AX72" s="205"/>
      <c r="AY72" s="205"/>
      <c r="AZ72" s="205"/>
      <c r="BA72" s="205"/>
      <c r="BB72" s="205"/>
      <c r="BC72" s="205"/>
      <c r="BD72" s="205"/>
      <c r="BE72" s="205"/>
      <c r="BF72" s="205"/>
      <c r="BG72" s="205"/>
      <c r="BH72" s="205"/>
    </row>
    <row r="73" ht="14.5" hidden="1" outlineLevel="1" spans="1:60">
      <c r="A73" s="236">
        <v>45546</v>
      </c>
      <c r="B73" s="102">
        <v>146583.85</v>
      </c>
      <c r="C73" s="102">
        <v>1442258</v>
      </c>
      <c r="D73" s="249">
        <v>0.0484</v>
      </c>
      <c r="E73" s="102">
        <v>69763</v>
      </c>
      <c r="F73" s="250">
        <v>101.63</v>
      </c>
      <c r="G73" s="251">
        <v>1.3</v>
      </c>
      <c r="H73" s="254">
        <v>2464</v>
      </c>
      <c r="I73" s="102">
        <v>129229.8</v>
      </c>
      <c r="J73" s="254">
        <v>2436</v>
      </c>
      <c r="K73" s="102">
        <v>127914.99</v>
      </c>
      <c r="L73" s="102">
        <v>61573.77</v>
      </c>
      <c r="M73" s="251">
        <v>1.29</v>
      </c>
      <c r="N73" s="250">
        <v>2.1</v>
      </c>
      <c r="O73" s="254">
        <v>2423</v>
      </c>
      <c r="P73" s="249">
        <v>0.0347</v>
      </c>
      <c r="Q73" s="251">
        <v>60.5</v>
      </c>
      <c r="R73" s="250">
        <v>52.51</v>
      </c>
      <c r="S73" s="102">
        <v>73953</v>
      </c>
      <c r="T73" s="251">
        <v>0</v>
      </c>
      <c r="U73" s="252">
        <v>0</v>
      </c>
      <c r="V73" s="251">
        <v>0</v>
      </c>
      <c r="W73" s="253">
        <v>18054.75</v>
      </c>
      <c r="X73" s="252">
        <v>0.1411</v>
      </c>
      <c r="Y73" s="252">
        <v>0.8589</v>
      </c>
      <c r="Z73" s="251">
        <v>1.11</v>
      </c>
      <c r="AA73" s="251">
        <v>70.64</v>
      </c>
      <c r="AB73" s="251">
        <v>725</v>
      </c>
      <c r="AC73" s="242">
        <f t="shared" si="14"/>
        <v>202.184620689655</v>
      </c>
      <c r="AD73" s="242"/>
      <c r="AE73" s="205"/>
      <c r="AF73" s="243">
        <f t="shared" si="15"/>
        <v>0.101634970996867</v>
      </c>
      <c r="AG73" s="244">
        <f t="shared" si="16"/>
        <v>1.98212175300529</v>
      </c>
      <c r="AH73" s="245">
        <f t="shared" si="17"/>
        <v>2.56228631698511</v>
      </c>
      <c r="AI73" s="246">
        <f t="shared" si="18"/>
        <v>0.0512758466238357</v>
      </c>
      <c r="AJ73" s="208">
        <f t="shared" si="19"/>
        <v>0.324946820064684</v>
      </c>
      <c r="AK73" s="208">
        <f t="shared" si="20"/>
        <v>0.0327640528443741</v>
      </c>
      <c r="AL73" s="205"/>
      <c r="AM73" s="205"/>
      <c r="AN73" s="205"/>
      <c r="AO73" s="205"/>
      <c r="AP73" s="205"/>
      <c r="AQ73" s="205"/>
      <c r="AR73" s="205"/>
      <c r="AS73" s="205"/>
      <c r="AT73" s="205"/>
      <c r="AU73" s="205"/>
      <c r="AV73" s="205"/>
      <c r="AW73" s="205"/>
      <c r="AX73" s="205"/>
      <c r="AY73" s="205"/>
      <c r="AZ73" s="205"/>
      <c r="BA73" s="205"/>
      <c r="BB73" s="205"/>
      <c r="BC73" s="205"/>
      <c r="BD73" s="205"/>
      <c r="BE73" s="205"/>
      <c r="BF73" s="205"/>
      <c r="BG73" s="205"/>
      <c r="BH73" s="205"/>
    </row>
    <row r="74" ht="14.5" hidden="1" outlineLevel="1" spans="1:60">
      <c r="A74" s="236">
        <v>45547</v>
      </c>
      <c r="B74" s="102">
        <v>109858.64</v>
      </c>
      <c r="C74" s="102">
        <v>1017504</v>
      </c>
      <c r="D74" s="249">
        <v>0.0489</v>
      </c>
      <c r="E74" s="102">
        <v>49721</v>
      </c>
      <c r="F74" s="250">
        <v>107.97</v>
      </c>
      <c r="G74" s="251">
        <v>1.36</v>
      </c>
      <c r="H74" s="254">
        <v>1916</v>
      </c>
      <c r="I74" s="102">
        <v>105229.77</v>
      </c>
      <c r="J74" s="254">
        <v>1878</v>
      </c>
      <c r="K74" s="102">
        <v>103220.79</v>
      </c>
      <c r="L74" s="102">
        <v>43758.45</v>
      </c>
      <c r="M74" s="251">
        <v>1.34</v>
      </c>
      <c r="N74" s="250">
        <v>2.21</v>
      </c>
      <c r="O74" s="254">
        <v>1878</v>
      </c>
      <c r="P74" s="249">
        <v>0.0378</v>
      </c>
      <c r="Q74" s="251">
        <v>58.5</v>
      </c>
      <c r="R74" s="250">
        <v>54.96</v>
      </c>
      <c r="S74" s="102">
        <v>54141</v>
      </c>
      <c r="T74" s="251">
        <v>0</v>
      </c>
      <c r="U74" s="252">
        <v>0</v>
      </c>
      <c r="V74" s="251">
        <v>0</v>
      </c>
      <c r="W74" s="253">
        <v>13901.1</v>
      </c>
      <c r="X74" s="252">
        <v>0.1347</v>
      </c>
      <c r="Y74" s="252">
        <v>0.8653</v>
      </c>
      <c r="Z74" s="251">
        <v>1.16</v>
      </c>
      <c r="AA74" s="251">
        <v>68.36</v>
      </c>
      <c r="AB74" s="251">
        <v>628</v>
      </c>
      <c r="AC74" s="242">
        <f t="shared" si="14"/>
        <v>174.934140127389</v>
      </c>
      <c r="AD74" s="242"/>
      <c r="AE74" s="205"/>
      <c r="AF74" s="243">
        <f t="shared" si="15"/>
        <v>0.107968754913986</v>
      </c>
      <c r="AG74" s="244">
        <f t="shared" si="16"/>
        <v>2.02912099887331</v>
      </c>
      <c r="AH74" s="245">
        <f t="shared" si="17"/>
        <v>2.71474926580595</v>
      </c>
      <c r="AI74" s="246">
        <f t="shared" si="18"/>
        <v>0.0532096188319653</v>
      </c>
      <c r="AJ74" s="208">
        <f t="shared" si="19"/>
        <v>0.29771857576621</v>
      </c>
      <c r="AK74" s="208">
        <f t="shared" si="20"/>
        <v>0.0346872056297446</v>
      </c>
      <c r="AL74" s="205"/>
      <c r="AM74" s="205"/>
      <c r="AN74" s="205"/>
      <c r="AO74" s="205"/>
      <c r="AP74" s="205"/>
      <c r="AQ74" s="205"/>
      <c r="AR74" s="205"/>
      <c r="AS74" s="205"/>
      <c r="AT74" s="205"/>
      <c r="AU74" s="205"/>
      <c r="AV74" s="205"/>
      <c r="AW74" s="205"/>
      <c r="AX74" s="205"/>
      <c r="AY74" s="205"/>
      <c r="AZ74" s="205"/>
      <c r="BA74" s="205"/>
      <c r="BB74" s="205"/>
      <c r="BC74" s="205"/>
      <c r="BD74" s="205"/>
      <c r="BE74" s="205"/>
      <c r="BF74" s="205"/>
      <c r="BG74" s="205"/>
      <c r="BH74" s="205"/>
    </row>
    <row r="75" ht="14.5" hidden="1" outlineLevel="1" spans="1:60">
      <c r="A75" s="236">
        <v>45548</v>
      </c>
      <c r="B75" s="102">
        <v>140209.65</v>
      </c>
      <c r="C75" s="102">
        <v>1522067</v>
      </c>
      <c r="D75" s="249">
        <v>0.0524</v>
      </c>
      <c r="E75" s="102">
        <v>79817</v>
      </c>
      <c r="F75" s="250">
        <v>92.12</v>
      </c>
      <c r="G75" s="251">
        <v>1.34</v>
      </c>
      <c r="H75" s="254">
        <v>2424</v>
      </c>
      <c r="I75" s="102">
        <v>131048.01</v>
      </c>
      <c r="J75" s="254">
        <v>2399</v>
      </c>
      <c r="K75" s="102">
        <v>129837.37</v>
      </c>
      <c r="L75" s="102">
        <v>57173.15</v>
      </c>
      <c r="M75" s="251">
        <v>1.33</v>
      </c>
      <c r="N75" s="250">
        <v>1.76</v>
      </c>
      <c r="O75" s="254">
        <v>2392</v>
      </c>
      <c r="P75" s="249">
        <v>0.03</v>
      </c>
      <c r="Q75" s="251">
        <v>58.62</v>
      </c>
      <c r="R75" s="250">
        <v>54.12</v>
      </c>
      <c r="S75" s="102">
        <v>86356</v>
      </c>
      <c r="T75" s="251">
        <v>0</v>
      </c>
      <c r="U75" s="252">
        <v>0</v>
      </c>
      <c r="V75" s="251">
        <v>0</v>
      </c>
      <c r="W75" s="253">
        <v>18479.62</v>
      </c>
      <c r="X75" s="252">
        <v>0.1423</v>
      </c>
      <c r="Y75" s="252">
        <v>0.8577</v>
      </c>
      <c r="Z75" s="251">
        <v>1.14</v>
      </c>
      <c r="AA75" s="251">
        <v>69</v>
      </c>
      <c r="AB75" s="251">
        <v>780</v>
      </c>
      <c r="AC75" s="242">
        <f t="shared" si="14"/>
        <v>179.755961538462</v>
      </c>
      <c r="AD75" s="242"/>
      <c r="AE75" s="205"/>
      <c r="AF75" s="243">
        <f t="shared" si="15"/>
        <v>0.0921179225356045</v>
      </c>
      <c r="AG75" s="244">
        <f t="shared" si="16"/>
        <v>1.62362372041317</v>
      </c>
      <c r="AH75" s="245">
        <f t="shared" si="17"/>
        <v>2.1655764509704</v>
      </c>
      <c r="AI75" s="246">
        <f t="shared" si="18"/>
        <v>0.0567360043940247</v>
      </c>
      <c r="AJ75" s="208">
        <f t="shared" si="19"/>
        <v>0.305721571171504</v>
      </c>
      <c r="AK75" s="208">
        <f t="shared" si="20"/>
        <v>0.0276992913057576</v>
      </c>
      <c r="AL75" s="205"/>
      <c r="AM75" s="205"/>
      <c r="AN75" s="205"/>
      <c r="AO75" s="205"/>
      <c r="AP75" s="205"/>
      <c r="AQ75" s="205"/>
      <c r="AR75" s="205"/>
      <c r="AS75" s="205"/>
      <c r="AT75" s="205"/>
      <c r="AU75" s="205"/>
      <c r="AV75" s="205"/>
      <c r="AW75" s="205"/>
      <c r="AX75" s="205"/>
      <c r="AY75" s="205"/>
      <c r="AZ75" s="205"/>
      <c r="BA75" s="205"/>
      <c r="BB75" s="205"/>
      <c r="BC75" s="205"/>
      <c r="BD75" s="205"/>
      <c r="BE75" s="205"/>
      <c r="BF75" s="205"/>
      <c r="BG75" s="205"/>
      <c r="BH75" s="205"/>
    </row>
    <row r="76" ht="14.5" hidden="1" outlineLevel="1" spans="1:60">
      <c r="A76" s="236">
        <v>45549</v>
      </c>
      <c r="B76" s="102">
        <v>116363.61</v>
      </c>
      <c r="C76" s="102">
        <v>1373538</v>
      </c>
      <c r="D76" s="249">
        <v>0.0561</v>
      </c>
      <c r="E76" s="102">
        <v>77118</v>
      </c>
      <c r="F76" s="250">
        <v>84.72</v>
      </c>
      <c r="G76" s="251">
        <v>1.31</v>
      </c>
      <c r="H76" s="254">
        <v>1971</v>
      </c>
      <c r="I76" s="102">
        <v>106420.31</v>
      </c>
      <c r="J76" s="254">
        <v>1953</v>
      </c>
      <c r="K76" s="102">
        <v>105464.91</v>
      </c>
      <c r="L76" s="102">
        <v>46507.83</v>
      </c>
      <c r="M76" s="251">
        <v>1.31</v>
      </c>
      <c r="N76" s="250">
        <v>1.51</v>
      </c>
      <c r="O76" s="254">
        <v>1944</v>
      </c>
      <c r="P76" s="249">
        <v>0.0252</v>
      </c>
      <c r="Q76" s="251">
        <v>59.86</v>
      </c>
      <c r="R76" s="250">
        <v>54</v>
      </c>
      <c r="S76" s="102">
        <v>90621</v>
      </c>
      <c r="T76" s="251">
        <v>0</v>
      </c>
      <c r="U76" s="252">
        <v>0</v>
      </c>
      <c r="V76" s="251">
        <v>0</v>
      </c>
      <c r="W76" s="253">
        <v>13376.07</v>
      </c>
      <c r="X76" s="252">
        <v>0.1268</v>
      </c>
      <c r="Y76" s="252">
        <v>0.8732</v>
      </c>
      <c r="Z76" s="251">
        <v>1.14</v>
      </c>
      <c r="AA76" s="251">
        <v>68.29</v>
      </c>
      <c r="AB76" s="251">
        <v>602</v>
      </c>
      <c r="AC76" s="242">
        <f t="shared" si="14"/>
        <v>193.295033222591</v>
      </c>
      <c r="AD76" s="242"/>
      <c r="AE76" s="205"/>
      <c r="AF76" s="243">
        <f t="shared" si="15"/>
        <v>0.0847181585074457</v>
      </c>
      <c r="AG76" s="244">
        <f t="shared" si="16"/>
        <v>1.28406892442149</v>
      </c>
      <c r="AH76" s="245">
        <f t="shared" si="17"/>
        <v>1.67701459926507</v>
      </c>
      <c r="AI76" s="246">
        <f t="shared" si="18"/>
        <v>0.0659763326533376</v>
      </c>
      <c r="AJ76" s="208">
        <f t="shared" si="19"/>
        <v>0.306027449396517</v>
      </c>
      <c r="AK76" s="208">
        <f t="shared" si="20"/>
        <v>0.0214519813288311</v>
      </c>
      <c r="AL76" s="205"/>
      <c r="AM76" s="205"/>
      <c r="AN76" s="205"/>
      <c r="AO76" s="205"/>
      <c r="AP76" s="205"/>
      <c r="AQ76" s="205"/>
      <c r="AR76" s="205"/>
      <c r="AS76" s="205"/>
      <c r="AT76" s="205"/>
      <c r="AU76" s="205"/>
      <c r="AV76" s="205"/>
      <c r="AW76" s="205"/>
      <c r="AX76" s="205"/>
      <c r="AY76" s="205"/>
      <c r="AZ76" s="205"/>
      <c r="BA76" s="205"/>
      <c r="BB76" s="205"/>
      <c r="BC76" s="205"/>
      <c r="BD76" s="205"/>
      <c r="BE76" s="205"/>
      <c r="BF76" s="205"/>
      <c r="BG76" s="205"/>
      <c r="BH76" s="205"/>
    </row>
    <row r="77" ht="14.5" hidden="1" outlineLevel="1" spans="1:60">
      <c r="A77" s="236">
        <v>45550</v>
      </c>
      <c r="B77" s="102">
        <v>14017.42</v>
      </c>
      <c r="C77" s="102">
        <v>215193</v>
      </c>
      <c r="D77" s="249">
        <v>0.0584</v>
      </c>
      <c r="E77" s="102">
        <v>12562</v>
      </c>
      <c r="F77" s="250">
        <v>65.14</v>
      </c>
      <c r="G77" s="251">
        <v>1.09</v>
      </c>
      <c r="H77" s="251">
        <v>228</v>
      </c>
      <c r="I77" s="102">
        <v>15287.45</v>
      </c>
      <c r="J77" s="251">
        <v>217</v>
      </c>
      <c r="K77" s="102">
        <v>14685.85</v>
      </c>
      <c r="L77" s="102">
        <v>0</v>
      </c>
      <c r="M77" s="251">
        <v>1.05</v>
      </c>
      <c r="N77" s="250">
        <v>1.12</v>
      </c>
      <c r="O77" s="251">
        <v>215</v>
      </c>
      <c r="P77" s="249">
        <v>0.0171</v>
      </c>
      <c r="Q77" s="251">
        <v>65.2</v>
      </c>
      <c r="R77" s="250">
        <v>67.68</v>
      </c>
      <c r="S77" s="102">
        <v>15297</v>
      </c>
      <c r="T77" s="251">
        <v>0</v>
      </c>
      <c r="U77" s="252">
        <v>0</v>
      </c>
      <c r="V77" s="251">
        <v>0</v>
      </c>
      <c r="W77" s="253">
        <v>1880.55</v>
      </c>
      <c r="X77" s="252">
        <v>0.1281</v>
      </c>
      <c r="Y77" s="252">
        <v>0.8719</v>
      </c>
      <c r="Z77" s="251">
        <v>0.91</v>
      </c>
      <c r="AA77" s="251">
        <v>75.36</v>
      </c>
      <c r="AB77" s="251">
        <v>131</v>
      </c>
      <c r="AC77" s="242">
        <f t="shared" si="14"/>
        <v>107.00320610687</v>
      </c>
      <c r="AD77" s="242"/>
      <c r="AE77" s="205"/>
      <c r="AF77" s="243">
        <f t="shared" si="15"/>
        <v>0.0651388288652512</v>
      </c>
      <c r="AG77" s="244">
        <f t="shared" si="16"/>
        <v>0.916350918480748</v>
      </c>
      <c r="AH77" s="245">
        <f t="shared" si="17"/>
        <v>0.960047721775512</v>
      </c>
      <c r="AI77" s="246">
        <f t="shared" si="18"/>
        <v>0.0710850259999164</v>
      </c>
      <c r="AJ77" s="208">
        <f t="shared" si="19"/>
        <v>0</v>
      </c>
      <c r="AK77" s="208">
        <f t="shared" si="20"/>
        <v>0.0140550434725763</v>
      </c>
      <c r="AL77" s="205"/>
      <c r="AM77" s="205"/>
      <c r="AN77" s="205"/>
      <c r="AO77" s="205"/>
      <c r="AP77" s="205"/>
      <c r="AQ77" s="205"/>
      <c r="AR77" s="205"/>
      <c r="AS77" s="205"/>
      <c r="AT77" s="205"/>
      <c r="AU77" s="205"/>
      <c r="AV77" s="205"/>
      <c r="AW77" s="205"/>
      <c r="AX77" s="205"/>
      <c r="AY77" s="205"/>
      <c r="AZ77" s="205"/>
      <c r="BA77" s="205"/>
      <c r="BB77" s="205"/>
      <c r="BC77" s="205"/>
      <c r="BD77" s="205"/>
      <c r="BE77" s="205"/>
      <c r="BF77" s="205"/>
      <c r="BG77" s="205"/>
      <c r="BH77" s="205"/>
    </row>
    <row r="78" ht="14.5" hidden="1" outlineLevel="1" spans="1:60">
      <c r="A78" s="236">
        <v>45551</v>
      </c>
      <c r="B78" s="102">
        <v>13608.3</v>
      </c>
      <c r="C78" s="102">
        <v>208711</v>
      </c>
      <c r="D78" s="249">
        <v>0.0526</v>
      </c>
      <c r="E78" s="102">
        <v>10979</v>
      </c>
      <c r="F78" s="250">
        <v>65.2</v>
      </c>
      <c r="G78" s="251">
        <v>1.06</v>
      </c>
      <c r="H78" s="251">
        <v>226</v>
      </c>
      <c r="I78" s="102">
        <v>14383.61</v>
      </c>
      <c r="J78" s="251">
        <v>215</v>
      </c>
      <c r="K78" s="102">
        <v>13605.31</v>
      </c>
      <c r="L78" s="102">
        <v>0</v>
      </c>
      <c r="M78" s="251">
        <v>1</v>
      </c>
      <c r="N78" s="250">
        <v>1.24</v>
      </c>
      <c r="O78" s="251">
        <v>215</v>
      </c>
      <c r="P78" s="249">
        <v>0.0196</v>
      </c>
      <c r="Q78" s="251">
        <v>63.29</v>
      </c>
      <c r="R78" s="250">
        <v>63.28</v>
      </c>
      <c r="S78" s="102">
        <v>14045</v>
      </c>
      <c r="T78" s="251">
        <v>0</v>
      </c>
      <c r="U78" s="252">
        <v>0</v>
      </c>
      <c r="V78" s="251">
        <v>0</v>
      </c>
      <c r="W78" s="253">
        <v>1500.39</v>
      </c>
      <c r="X78" s="252">
        <v>0.1103</v>
      </c>
      <c r="Y78" s="252">
        <v>0.8897</v>
      </c>
      <c r="Z78" s="251">
        <v>0.89</v>
      </c>
      <c r="AA78" s="251">
        <v>71.25</v>
      </c>
      <c r="AB78" s="251">
        <v>91</v>
      </c>
      <c r="AC78" s="242">
        <f t="shared" si="14"/>
        <v>149.541758241758</v>
      </c>
      <c r="AD78" s="242"/>
      <c r="AE78" s="205"/>
      <c r="AF78" s="243">
        <f t="shared" si="15"/>
        <v>0.0652016424625439</v>
      </c>
      <c r="AG78" s="244">
        <f t="shared" si="16"/>
        <v>0.968907084371663</v>
      </c>
      <c r="AH78" s="245">
        <f t="shared" si="17"/>
        <v>0.968694197223211</v>
      </c>
      <c r="AI78" s="246">
        <f t="shared" si="18"/>
        <v>0.0672940094197239</v>
      </c>
      <c r="AJ78" s="208">
        <f t="shared" si="19"/>
        <v>0</v>
      </c>
      <c r="AK78" s="208">
        <f t="shared" si="20"/>
        <v>0.0153079387682449</v>
      </c>
      <c r="AL78" s="205"/>
      <c r="AM78" s="205"/>
      <c r="AN78" s="205"/>
      <c r="AO78" s="205"/>
      <c r="AP78" s="205"/>
      <c r="AQ78" s="205"/>
      <c r="AR78" s="205"/>
      <c r="AS78" s="205"/>
      <c r="AT78" s="205"/>
      <c r="AU78" s="205"/>
      <c r="AV78" s="205"/>
      <c r="AW78" s="205"/>
      <c r="AX78" s="205"/>
      <c r="AY78" s="205"/>
      <c r="AZ78" s="205"/>
      <c r="BA78" s="205"/>
      <c r="BB78" s="205"/>
      <c r="BC78" s="205"/>
      <c r="BD78" s="205"/>
      <c r="BE78" s="205"/>
      <c r="BF78" s="205"/>
      <c r="BG78" s="205"/>
      <c r="BH78" s="205"/>
    </row>
    <row r="79" ht="14.5" hidden="1" outlineLevel="1" spans="1:60">
      <c r="A79" s="236">
        <v>45552</v>
      </c>
      <c r="B79" s="102">
        <v>11795.01</v>
      </c>
      <c r="C79" s="102">
        <v>187852</v>
      </c>
      <c r="D79" s="249">
        <v>0.0527</v>
      </c>
      <c r="E79" s="102">
        <v>9892</v>
      </c>
      <c r="F79" s="250">
        <v>62.79</v>
      </c>
      <c r="G79" s="251">
        <v>1.12</v>
      </c>
      <c r="H79" s="251">
        <v>194</v>
      </c>
      <c r="I79" s="102">
        <v>13265.03</v>
      </c>
      <c r="J79" s="251">
        <v>188</v>
      </c>
      <c r="K79" s="102">
        <v>12830.93</v>
      </c>
      <c r="L79" s="102">
        <v>0</v>
      </c>
      <c r="M79" s="251">
        <v>1.09</v>
      </c>
      <c r="N79" s="250">
        <v>1.19</v>
      </c>
      <c r="O79" s="251">
        <v>189</v>
      </c>
      <c r="P79" s="249">
        <v>0.0191</v>
      </c>
      <c r="Q79" s="251">
        <v>62.41</v>
      </c>
      <c r="R79" s="250">
        <v>68.25</v>
      </c>
      <c r="S79" s="102">
        <v>12366</v>
      </c>
      <c r="T79" s="251">
        <v>0</v>
      </c>
      <c r="U79" s="252">
        <v>0</v>
      </c>
      <c r="V79" s="251">
        <v>0</v>
      </c>
      <c r="W79" s="253">
        <v>1449.88</v>
      </c>
      <c r="X79" s="252">
        <v>0.113</v>
      </c>
      <c r="Y79" s="252">
        <v>0.887</v>
      </c>
      <c r="Z79" s="251">
        <v>0.96</v>
      </c>
      <c r="AA79" s="251">
        <v>71.05</v>
      </c>
      <c r="AB79" s="251">
        <v>116</v>
      </c>
      <c r="AC79" s="242">
        <f t="shared" si="14"/>
        <v>101.681120689655</v>
      </c>
      <c r="AD79" s="242"/>
      <c r="AE79" s="205"/>
      <c r="AF79" s="243">
        <f t="shared" si="15"/>
        <v>0.0627888444094287</v>
      </c>
      <c r="AG79" s="244">
        <f t="shared" si="16"/>
        <v>0.953825812712276</v>
      </c>
      <c r="AH79" s="245">
        <f t="shared" si="17"/>
        <v>1.03759744460618</v>
      </c>
      <c r="AI79" s="246">
        <f t="shared" si="18"/>
        <v>0.0658284181163895</v>
      </c>
      <c r="AJ79" s="208">
        <f t="shared" si="19"/>
        <v>0</v>
      </c>
      <c r="AK79" s="208">
        <f t="shared" si="20"/>
        <v>0.0152838427947598</v>
      </c>
      <c r="AL79" s="205"/>
      <c r="AM79" s="205"/>
      <c r="AN79" s="205"/>
      <c r="AO79" s="205"/>
      <c r="AP79" s="205"/>
      <c r="AQ79" s="205"/>
      <c r="AR79" s="205"/>
      <c r="AS79" s="205"/>
      <c r="AT79" s="205"/>
      <c r="AU79" s="205"/>
      <c r="AV79" s="205"/>
      <c r="AW79" s="205"/>
      <c r="AX79" s="205"/>
      <c r="AY79" s="205"/>
      <c r="AZ79" s="205"/>
      <c r="BA79" s="205"/>
      <c r="BB79" s="205"/>
      <c r="BC79" s="205"/>
      <c r="BD79" s="205"/>
      <c r="BE79" s="205"/>
      <c r="BF79" s="205"/>
      <c r="BG79" s="205"/>
      <c r="BH79" s="205"/>
    </row>
    <row r="80" ht="14.5" hidden="1" outlineLevel="1" spans="1:60">
      <c r="A80" s="236">
        <v>45553</v>
      </c>
      <c r="B80" s="102">
        <v>14139.61</v>
      </c>
      <c r="C80" s="102">
        <v>191915</v>
      </c>
      <c r="D80" s="249">
        <v>0.0473</v>
      </c>
      <c r="E80" s="102">
        <v>9068</v>
      </c>
      <c r="F80" s="250">
        <v>73.68</v>
      </c>
      <c r="G80" s="251">
        <v>1.38</v>
      </c>
      <c r="H80" s="251">
        <v>285</v>
      </c>
      <c r="I80" s="102">
        <v>19559.35</v>
      </c>
      <c r="J80" s="251">
        <v>278</v>
      </c>
      <c r="K80" s="102">
        <v>19226.65</v>
      </c>
      <c r="L80" s="102">
        <v>0</v>
      </c>
      <c r="M80" s="251">
        <v>1.36</v>
      </c>
      <c r="N80" s="250">
        <v>1.56</v>
      </c>
      <c r="O80" s="251">
        <v>275</v>
      </c>
      <c r="P80" s="249">
        <v>0.0303</v>
      </c>
      <c r="Q80" s="251">
        <v>51.42</v>
      </c>
      <c r="R80" s="250">
        <v>69.16</v>
      </c>
      <c r="S80" s="102">
        <v>11269</v>
      </c>
      <c r="T80" s="251">
        <v>0</v>
      </c>
      <c r="U80" s="252">
        <v>0</v>
      </c>
      <c r="V80" s="251">
        <v>0</v>
      </c>
      <c r="W80" s="253">
        <v>1690.96</v>
      </c>
      <c r="X80" s="252">
        <v>0.0879</v>
      </c>
      <c r="Y80" s="252">
        <v>0.9121</v>
      </c>
      <c r="Z80" s="251">
        <v>1.24</v>
      </c>
      <c r="AA80" s="251">
        <v>55.89</v>
      </c>
      <c r="AB80" s="251">
        <v>109</v>
      </c>
      <c r="AC80" s="242">
        <f t="shared" si="14"/>
        <v>129.72119266055</v>
      </c>
      <c r="AD80" s="242"/>
      <c r="AE80" s="205"/>
      <c r="AF80" s="243">
        <f t="shared" si="15"/>
        <v>0.0736764192481046</v>
      </c>
      <c r="AG80" s="244">
        <f t="shared" si="16"/>
        <v>1.25473511402964</v>
      </c>
      <c r="AH80" s="245">
        <f t="shared" si="17"/>
        <v>1.7061540509362</v>
      </c>
      <c r="AI80" s="246">
        <f t="shared" si="18"/>
        <v>0.0587187035927364</v>
      </c>
      <c r="AJ80" s="208">
        <f t="shared" si="19"/>
        <v>0</v>
      </c>
      <c r="AK80" s="208">
        <f t="shared" si="20"/>
        <v>0.0244032301002751</v>
      </c>
      <c r="AL80" s="205"/>
      <c r="AM80" s="205"/>
      <c r="AN80" s="205"/>
      <c r="AO80" s="205"/>
      <c r="AP80" s="205"/>
      <c r="AQ80" s="205"/>
      <c r="AR80" s="205"/>
      <c r="AS80" s="205"/>
      <c r="AT80" s="205"/>
      <c r="AU80" s="205"/>
      <c r="AV80" s="205"/>
      <c r="AW80" s="205"/>
      <c r="AX80" s="205"/>
      <c r="AY80" s="205"/>
      <c r="AZ80" s="205"/>
      <c r="BA80" s="205"/>
      <c r="BB80" s="205"/>
      <c r="BC80" s="205"/>
      <c r="BD80" s="205"/>
      <c r="BE80" s="205"/>
      <c r="BF80" s="205"/>
      <c r="BG80" s="205"/>
      <c r="BH80" s="205"/>
    </row>
    <row r="81" ht="14.5" hidden="1" outlineLevel="1" spans="1:60">
      <c r="A81" s="236">
        <v>45554</v>
      </c>
      <c r="B81" s="102">
        <v>15887.23</v>
      </c>
      <c r="C81" s="102">
        <v>210297</v>
      </c>
      <c r="D81" s="249">
        <v>0.0451</v>
      </c>
      <c r="E81" s="102">
        <v>9493</v>
      </c>
      <c r="F81" s="250">
        <v>75.55</v>
      </c>
      <c r="G81" s="251">
        <v>1.33</v>
      </c>
      <c r="H81" s="251">
        <v>291</v>
      </c>
      <c r="I81" s="102">
        <v>21207.12</v>
      </c>
      <c r="J81" s="251">
        <v>277</v>
      </c>
      <c r="K81" s="102">
        <v>20244.62</v>
      </c>
      <c r="L81" s="102">
        <v>0</v>
      </c>
      <c r="M81" s="251">
        <v>1.27</v>
      </c>
      <c r="N81" s="250">
        <v>1.67</v>
      </c>
      <c r="O81" s="251">
        <v>275</v>
      </c>
      <c r="P81" s="249">
        <v>0.029</v>
      </c>
      <c r="Q81" s="251">
        <v>57.77</v>
      </c>
      <c r="R81" s="250">
        <v>73.09</v>
      </c>
      <c r="S81" s="102">
        <v>11959</v>
      </c>
      <c r="T81" s="251">
        <v>0</v>
      </c>
      <c r="U81" s="252">
        <v>0</v>
      </c>
      <c r="V81" s="251">
        <v>0</v>
      </c>
      <c r="W81" s="253">
        <v>2649.39</v>
      </c>
      <c r="X81" s="252">
        <v>0.1309</v>
      </c>
      <c r="Y81" s="252">
        <v>0.8691</v>
      </c>
      <c r="Z81" s="251">
        <v>1.11</v>
      </c>
      <c r="AA81" s="251">
        <v>66.47</v>
      </c>
      <c r="AB81" s="251">
        <v>116</v>
      </c>
      <c r="AC81" s="242">
        <f t="shared" si="14"/>
        <v>136.958879310345</v>
      </c>
      <c r="AD81" s="242"/>
      <c r="AE81" s="205"/>
      <c r="AF81" s="243">
        <f t="shared" si="15"/>
        <v>0.075546631668545</v>
      </c>
      <c r="AG81" s="244">
        <f t="shared" si="16"/>
        <v>1.32847478886195</v>
      </c>
      <c r="AH81" s="245">
        <f t="shared" si="17"/>
        <v>1.69283552136466</v>
      </c>
      <c r="AI81" s="246">
        <f t="shared" si="18"/>
        <v>0.0568671925895281</v>
      </c>
      <c r="AJ81" s="208">
        <f t="shared" si="19"/>
        <v>0</v>
      </c>
      <c r="AK81" s="208">
        <f t="shared" si="20"/>
        <v>0.0229952337151936</v>
      </c>
      <c r="AL81" s="205"/>
      <c r="AM81" s="205"/>
      <c r="AN81" s="205"/>
      <c r="AO81" s="205"/>
      <c r="AP81" s="205"/>
      <c r="AQ81" s="205"/>
      <c r="AR81" s="205"/>
      <c r="AS81" s="205"/>
      <c r="AT81" s="205"/>
      <c r="AU81" s="205"/>
      <c r="AV81" s="205"/>
      <c r="AW81" s="205"/>
      <c r="AX81" s="205"/>
      <c r="AY81" s="205"/>
      <c r="AZ81" s="205"/>
      <c r="BA81" s="205"/>
      <c r="BB81" s="205"/>
      <c r="BC81" s="205"/>
      <c r="BD81" s="205"/>
      <c r="BE81" s="205"/>
      <c r="BF81" s="205"/>
      <c r="BG81" s="205"/>
      <c r="BH81" s="205"/>
    </row>
    <row r="82" ht="14.5" hidden="1" outlineLevel="1" spans="1:60">
      <c r="A82" s="236">
        <v>45555</v>
      </c>
      <c r="B82" s="102">
        <v>13132.35</v>
      </c>
      <c r="C82" s="102">
        <v>188083</v>
      </c>
      <c r="D82" s="249">
        <v>0.0421</v>
      </c>
      <c r="E82" s="102">
        <v>7913</v>
      </c>
      <c r="F82" s="250">
        <v>69.82</v>
      </c>
      <c r="G82" s="251">
        <v>1.27</v>
      </c>
      <c r="H82" s="251">
        <v>230</v>
      </c>
      <c r="I82" s="102">
        <v>16680.68</v>
      </c>
      <c r="J82" s="251">
        <v>220</v>
      </c>
      <c r="K82" s="102">
        <v>16064.68</v>
      </c>
      <c r="L82" s="102">
        <v>0</v>
      </c>
      <c r="M82" s="251">
        <v>1.22</v>
      </c>
      <c r="N82" s="250">
        <v>1.66</v>
      </c>
      <c r="O82" s="251">
        <v>221</v>
      </c>
      <c r="P82" s="249">
        <v>0.0279</v>
      </c>
      <c r="Q82" s="251">
        <v>59.42</v>
      </c>
      <c r="R82" s="250">
        <v>73.02</v>
      </c>
      <c r="S82" s="102">
        <v>9797</v>
      </c>
      <c r="T82" s="251">
        <v>0</v>
      </c>
      <c r="U82" s="252">
        <v>0</v>
      </c>
      <c r="V82" s="251">
        <v>0</v>
      </c>
      <c r="W82" s="253">
        <v>2303.17</v>
      </c>
      <c r="X82" s="252">
        <v>0.1434</v>
      </c>
      <c r="Y82" s="252">
        <v>0.8566</v>
      </c>
      <c r="Z82" s="251">
        <v>1.05</v>
      </c>
      <c r="AA82" s="251">
        <v>70.23</v>
      </c>
      <c r="AB82" s="251">
        <v>97</v>
      </c>
      <c r="AC82" s="242">
        <f t="shared" si="14"/>
        <v>135.385051546392</v>
      </c>
      <c r="AD82" s="242"/>
      <c r="AE82" s="205"/>
      <c r="AF82" s="243">
        <f t="shared" si="15"/>
        <v>0.0698220998176337</v>
      </c>
      <c r="AG82" s="244">
        <f t="shared" si="16"/>
        <v>1.34044605491477</v>
      </c>
      <c r="AH82" s="245">
        <f t="shared" si="17"/>
        <v>1.6397550270491</v>
      </c>
      <c r="AI82" s="246">
        <f t="shared" si="18"/>
        <v>0.0520887055183084</v>
      </c>
      <c r="AJ82" s="208">
        <f t="shared" si="19"/>
        <v>0</v>
      </c>
      <c r="AK82" s="208">
        <f t="shared" si="20"/>
        <v>0.0225579258956824</v>
      </c>
      <c r="AL82" s="205"/>
      <c r="AM82" s="205"/>
      <c r="AN82" s="205"/>
      <c r="AO82" s="205"/>
      <c r="AP82" s="205"/>
      <c r="AQ82" s="205"/>
      <c r="AR82" s="205"/>
      <c r="AS82" s="205"/>
      <c r="AT82" s="205"/>
      <c r="AU82" s="205"/>
      <c r="AV82" s="205"/>
      <c r="AW82" s="205"/>
      <c r="AX82" s="205"/>
      <c r="AY82" s="205"/>
      <c r="AZ82" s="205"/>
      <c r="BA82" s="205"/>
      <c r="BB82" s="205"/>
      <c r="BC82" s="205"/>
      <c r="BD82" s="205"/>
      <c r="BE82" s="205"/>
      <c r="BF82" s="205"/>
      <c r="BG82" s="205"/>
      <c r="BH82" s="205"/>
    </row>
    <row r="83" ht="14.5" hidden="1" outlineLevel="1" spans="1:60">
      <c r="A83" s="236">
        <v>45556</v>
      </c>
      <c r="B83" s="102">
        <v>11837.83</v>
      </c>
      <c r="C83" s="102">
        <v>172140</v>
      </c>
      <c r="D83" s="249">
        <v>0.0447</v>
      </c>
      <c r="E83" s="102">
        <v>7698</v>
      </c>
      <c r="F83" s="250">
        <v>68.77</v>
      </c>
      <c r="G83" s="251">
        <v>1.18</v>
      </c>
      <c r="H83" s="251">
        <v>211</v>
      </c>
      <c r="I83" s="102">
        <v>13919.39</v>
      </c>
      <c r="J83" s="251">
        <v>196</v>
      </c>
      <c r="K83" s="102">
        <v>12979.95</v>
      </c>
      <c r="L83" s="102">
        <v>0</v>
      </c>
      <c r="M83" s="251">
        <v>1.1</v>
      </c>
      <c r="N83" s="250">
        <v>1.54</v>
      </c>
      <c r="O83" s="251">
        <v>195</v>
      </c>
      <c r="P83" s="249">
        <v>0.0253</v>
      </c>
      <c r="Q83" s="251">
        <v>60.71</v>
      </c>
      <c r="R83" s="250">
        <v>66.22</v>
      </c>
      <c r="S83" s="102">
        <v>9140</v>
      </c>
      <c r="T83" s="251">
        <v>0</v>
      </c>
      <c r="U83" s="252">
        <v>0</v>
      </c>
      <c r="V83" s="251">
        <v>0</v>
      </c>
      <c r="W83" s="251">
        <v>995.37</v>
      </c>
      <c r="X83" s="252">
        <v>0.0767</v>
      </c>
      <c r="Y83" s="252">
        <v>0.9233</v>
      </c>
      <c r="Z83" s="251">
        <v>1.01</v>
      </c>
      <c r="AA83" s="251">
        <v>65.4</v>
      </c>
      <c r="AB83" s="251">
        <v>92</v>
      </c>
      <c r="AC83" s="242">
        <f t="shared" si="14"/>
        <v>128.672065217391</v>
      </c>
      <c r="AD83" s="242"/>
      <c r="AE83" s="205"/>
      <c r="AF83" s="243">
        <f t="shared" si="15"/>
        <v>0.0687686185662833</v>
      </c>
      <c r="AG83" s="244">
        <f t="shared" si="16"/>
        <v>1.29516739606127</v>
      </c>
      <c r="AH83" s="245">
        <f t="shared" si="17"/>
        <v>1.42012582056893</v>
      </c>
      <c r="AI83" s="246">
        <f t="shared" si="18"/>
        <v>0.0530963169513187</v>
      </c>
      <c r="AJ83" s="208">
        <f t="shared" si="19"/>
        <v>0</v>
      </c>
      <c r="AK83" s="208">
        <f t="shared" si="20"/>
        <v>0.0213347921225383</v>
      </c>
      <c r="AL83" s="205"/>
      <c r="AM83" s="205"/>
      <c r="AN83" s="205"/>
      <c r="AO83" s="205"/>
      <c r="AP83" s="205"/>
      <c r="AQ83" s="205"/>
      <c r="AR83" s="205"/>
      <c r="AS83" s="205"/>
      <c r="AT83" s="205"/>
      <c r="AU83" s="205"/>
      <c r="AV83" s="205"/>
      <c r="AW83" s="205"/>
      <c r="AX83" s="205"/>
      <c r="AY83" s="205"/>
      <c r="AZ83" s="205"/>
      <c r="BA83" s="205"/>
      <c r="BB83" s="205"/>
      <c r="BC83" s="205"/>
      <c r="BD83" s="205"/>
      <c r="BE83" s="205"/>
      <c r="BF83" s="205"/>
      <c r="BG83" s="205"/>
      <c r="BH83" s="205"/>
    </row>
    <row r="84" ht="14.5" hidden="1" outlineLevel="1" spans="1:60">
      <c r="A84" s="236">
        <v>45557</v>
      </c>
      <c r="B84" s="102">
        <v>18806.36</v>
      </c>
      <c r="C84" s="102">
        <v>250607</v>
      </c>
      <c r="D84" s="249">
        <v>0.0349</v>
      </c>
      <c r="E84" s="102">
        <v>8753</v>
      </c>
      <c r="F84" s="250">
        <v>75.04</v>
      </c>
      <c r="G84" s="251">
        <v>1.42</v>
      </c>
      <c r="H84" s="251">
        <v>357</v>
      </c>
      <c r="I84" s="102">
        <v>26628.68</v>
      </c>
      <c r="J84" s="251">
        <v>348</v>
      </c>
      <c r="K84" s="102">
        <v>26209.38</v>
      </c>
      <c r="L84" s="102">
        <v>0</v>
      </c>
      <c r="M84" s="251">
        <v>1.39</v>
      </c>
      <c r="N84" s="250">
        <v>2.15</v>
      </c>
      <c r="O84" s="251">
        <v>346</v>
      </c>
      <c r="P84" s="249">
        <v>0.0395</v>
      </c>
      <c r="Q84" s="251">
        <v>54.35</v>
      </c>
      <c r="R84" s="250">
        <v>75.31</v>
      </c>
      <c r="S84" s="102">
        <v>10357</v>
      </c>
      <c r="T84" s="251">
        <v>0</v>
      </c>
      <c r="U84" s="252">
        <v>0</v>
      </c>
      <c r="V84" s="251">
        <v>0</v>
      </c>
      <c r="W84" s="253">
        <v>2928.1</v>
      </c>
      <c r="X84" s="252">
        <v>0.1117</v>
      </c>
      <c r="Y84" s="252">
        <v>0.8883</v>
      </c>
      <c r="Z84" s="251">
        <v>1.24</v>
      </c>
      <c r="AA84" s="251">
        <v>60.08</v>
      </c>
      <c r="AB84" s="251">
        <v>141</v>
      </c>
      <c r="AC84" s="242">
        <f t="shared" si="14"/>
        <v>133.378439716312</v>
      </c>
      <c r="AD84" s="242"/>
      <c r="AE84" s="205"/>
      <c r="AF84" s="243">
        <f t="shared" si="15"/>
        <v>0.0750432350253584</v>
      </c>
      <c r="AG84" s="244">
        <f t="shared" si="16"/>
        <v>1.81581152843488</v>
      </c>
      <c r="AH84" s="245">
        <f t="shared" si="17"/>
        <v>2.53059573235493</v>
      </c>
      <c r="AI84" s="246">
        <f t="shared" si="18"/>
        <v>0.0413276564501391</v>
      </c>
      <c r="AJ84" s="208">
        <f t="shared" si="19"/>
        <v>0</v>
      </c>
      <c r="AK84" s="208">
        <f t="shared" si="20"/>
        <v>0.0334073573428599</v>
      </c>
      <c r="AL84" s="205"/>
      <c r="AM84" s="205"/>
      <c r="AN84" s="205"/>
      <c r="AO84" s="205"/>
      <c r="AP84" s="205"/>
      <c r="AQ84" s="205"/>
      <c r="AR84" s="205"/>
      <c r="AS84" s="205"/>
      <c r="AT84" s="205"/>
      <c r="AU84" s="205"/>
      <c r="AV84" s="205"/>
      <c r="AW84" s="205"/>
      <c r="AX84" s="205"/>
      <c r="AY84" s="205"/>
      <c r="AZ84" s="205"/>
      <c r="BA84" s="205"/>
      <c r="BB84" s="205"/>
      <c r="BC84" s="205"/>
      <c r="BD84" s="205"/>
      <c r="BE84" s="205"/>
      <c r="BF84" s="205"/>
      <c r="BG84" s="205"/>
      <c r="BH84" s="205"/>
    </row>
    <row r="85" ht="14.5" hidden="1" outlineLevel="1" spans="1:60">
      <c r="A85" s="236">
        <v>45558</v>
      </c>
      <c r="B85" s="102">
        <v>14101.09</v>
      </c>
      <c r="C85" s="102">
        <v>191797</v>
      </c>
      <c r="D85" s="249">
        <v>0.048</v>
      </c>
      <c r="E85" s="102">
        <v>9207</v>
      </c>
      <c r="F85" s="250">
        <v>73.52</v>
      </c>
      <c r="G85" s="251">
        <v>1.23</v>
      </c>
      <c r="H85" s="251">
        <v>248</v>
      </c>
      <c r="I85" s="102">
        <v>17299.45</v>
      </c>
      <c r="J85" s="251">
        <v>239</v>
      </c>
      <c r="K85" s="102">
        <v>16903.05</v>
      </c>
      <c r="L85" s="102">
        <v>0</v>
      </c>
      <c r="M85" s="251">
        <v>1.2</v>
      </c>
      <c r="N85" s="250">
        <v>1.53</v>
      </c>
      <c r="O85" s="251">
        <v>239</v>
      </c>
      <c r="P85" s="249">
        <v>0.026</v>
      </c>
      <c r="Q85" s="251">
        <v>59</v>
      </c>
      <c r="R85" s="250">
        <v>70.72</v>
      </c>
      <c r="S85" s="102">
        <v>10490</v>
      </c>
      <c r="T85" s="251">
        <v>0</v>
      </c>
      <c r="U85" s="252">
        <v>0</v>
      </c>
      <c r="V85" s="251">
        <v>0</v>
      </c>
      <c r="W85" s="253">
        <v>1573.89</v>
      </c>
      <c r="X85" s="252">
        <v>0.0931</v>
      </c>
      <c r="Y85" s="252">
        <v>0.9069</v>
      </c>
      <c r="Z85" s="251">
        <v>1.09</v>
      </c>
      <c r="AA85" s="251">
        <v>64.68</v>
      </c>
      <c r="AB85" s="251">
        <v>95</v>
      </c>
      <c r="AC85" s="242">
        <f t="shared" si="14"/>
        <v>148.432526315789</v>
      </c>
      <c r="AD85" s="242"/>
      <c r="AE85" s="205"/>
      <c r="AF85" s="243">
        <f t="shared" si="15"/>
        <v>0.0735209101289384</v>
      </c>
      <c r="AG85" s="244">
        <f t="shared" si="16"/>
        <v>1.34424118207817</v>
      </c>
      <c r="AH85" s="245">
        <f t="shared" si="17"/>
        <v>1.61134890371783</v>
      </c>
      <c r="AI85" s="246">
        <f t="shared" si="18"/>
        <v>0.0546932433771123</v>
      </c>
      <c r="AJ85" s="208">
        <f t="shared" si="19"/>
        <v>0</v>
      </c>
      <c r="AK85" s="208">
        <f t="shared" si="20"/>
        <v>0.0227836034318398</v>
      </c>
      <c r="AL85" s="205"/>
      <c r="AM85" s="205"/>
      <c r="AN85" s="205"/>
      <c r="AO85" s="205"/>
      <c r="AP85" s="205"/>
      <c r="AQ85" s="205"/>
      <c r="AR85" s="205"/>
      <c r="AS85" s="205"/>
      <c r="AT85" s="205"/>
      <c r="AU85" s="205"/>
      <c r="AV85" s="205"/>
      <c r="AW85" s="205"/>
      <c r="AX85" s="205"/>
      <c r="AY85" s="205"/>
      <c r="AZ85" s="205"/>
      <c r="BA85" s="205"/>
      <c r="BB85" s="205"/>
      <c r="BC85" s="205"/>
      <c r="BD85" s="205"/>
      <c r="BE85" s="205"/>
      <c r="BF85" s="205"/>
      <c r="BG85" s="205"/>
      <c r="BH85" s="205"/>
    </row>
    <row r="86" ht="14.5" hidden="1" outlineLevel="1" spans="1:60">
      <c r="A86" s="236">
        <v>45559</v>
      </c>
      <c r="B86" s="102">
        <v>15051.22</v>
      </c>
      <c r="C86" s="102">
        <v>195612</v>
      </c>
      <c r="D86" s="249">
        <v>0.0419</v>
      </c>
      <c r="E86" s="102">
        <v>8189</v>
      </c>
      <c r="F86" s="250">
        <v>76.94</v>
      </c>
      <c r="G86" s="251">
        <v>1.31</v>
      </c>
      <c r="H86" s="251">
        <v>286</v>
      </c>
      <c r="I86" s="102">
        <v>19779.05</v>
      </c>
      <c r="J86" s="251">
        <v>274</v>
      </c>
      <c r="K86" s="102">
        <v>19023.35</v>
      </c>
      <c r="L86" s="102">
        <v>0</v>
      </c>
      <c r="M86" s="251">
        <v>1.26</v>
      </c>
      <c r="N86" s="250">
        <v>1.84</v>
      </c>
      <c r="O86" s="251">
        <v>268</v>
      </c>
      <c r="P86" s="249">
        <v>0.0327</v>
      </c>
      <c r="Q86" s="251">
        <v>56.16</v>
      </c>
      <c r="R86" s="250">
        <v>69.43</v>
      </c>
      <c r="S86" s="102">
        <v>10040</v>
      </c>
      <c r="T86" s="251">
        <v>0</v>
      </c>
      <c r="U86" s="252">
        <v>0</v>
      </c>
      <c r="V86" s="251">
        <v>0</v>
      </c>
      <c r="W86" s="253">
        <v>1374.5</v>
      </c>
      <c r="X86" s="252">
        <v>0.0723</v>
      </c>
      <c r="Y86" s="252">
        <v>0.9277</v>
      </c>
      <c r="Z86" s="251">
        <v>1.17</v>
      </c>
      <c r="AA86" s="251">
        <v>59.02</v>
      </c>
      <c r="AB86" s="251">
        <v>92</v>
      </c>
      <c r="AC86" s="242">
        <f t="shared" si="14"/>
        <v>163.600217391304</v>
      </c>
      <c r="AD86" s="242"/>
      <c r="AE86" s="205"/>
      <c r="AF86" s="243">
        <f t="shared" si="15"/>
        <v>0.0769442569985481</v>
      </c>
      <c r="AG86" s="244">
        <f t="shared" si="16"/>
        <v>1.49912549800797</v>
      </c>
      <c r="AH86" s="245">
        <f t="shared" si="17"/>
        <v>1.89475597609562</v>
      </c>
      <c r="AI86" s="246">
        <f t="shared" si="18"/>
        <v>0.051326094513629</v>
      </c>
      <c r="AJ86" s="208">
        <f t="shared" si="19"/>
        <v>0</v>
      </c>
      <c r="AK86" s="208">
        <f t="shared" si="20"/>
        <v>0.0266932270916335</v>
      </c>
      <c r="AL86" s="205"/>
      <c r="AM86" s="205"/>
      <c r="AN86" s="205"/>
      <c r="AO86" s="205"/>
      <c r="AP86" s="205"/>
      <c r="AQ86" s="205"/>
      <c r="AR86" s="205"/>
      <c r="AS86" s="205"/>
      <c r="AT86" s="205"/>
      <c r="AU86" s="205"/>
      <c r="AV86" s="205"/>
      <c r="AW86" s="205"/>
      <c r="AX86" s="205"/>
      <c r="AY86" s="205"/>
      <c r="AZ86" s="205"/>
      <c r="BA86" s="205"/>
      <c r="BB86" s="205"/>
      <c r="BC86" s="205"/>
      <c r="BD86" s="205"/>
      <c r="BE86" s="205"/>
      <c r="BF86" s="205"/>
      <c r="BG86" s="205"/>
      <c r="BH86" s="205"/>
    </row>
    <row r="87" ht="14.5" hidden="1" outlineLevel="1" spans="1:60">
      <c r="A87" s="236">
        <v>45560</v>
      </c>
      <c r="B87" s="102">
        <v>11082.06</v>
      </c>
      <c r="C87" s="102">
        <v>142545</v>
      </c>
      <c r="D87" s="249">
        <v>0.0406</v>
      </c>
      <c r="E87" s="102">
        <v>5788</v>
      </c>
      <c r="F87" s="250">
        <v>77.74</v>
      </c>
      <c r="G87" s="251">
        <v>1.23</v>
      </c>
      <c r="H87" s="251">
        <v>202</v>
      </c>
      <c r="I87" s="102">
        <v>13627.11</v>
      </c>
      <c r="J87" s="251">
        <v>197</v>
      </c>
      <c r="K87" s="102">
        <v>13224.71</v>
      </c>
      <c r="L87" s="102">
        <v>0</v>
      </c>
      <c r="M87" s="251">
        <v>1.19</v>
      </c>
      <c r="N87" s="250">
        <v>1.91</v>
      </c>
      <c r="O87" s="251">
        <v>197</v>
      </c>
      <c r="P87" s="249">
        <v>0.034</v>
      </c>
      <c r="Q87" s="251">
        <v>56.25</v>
      </c>
      <c r="R87" s="250">
        <v>67.13</v>
      </c>
      <c r="S87" s="102">
        <v>7085</v>
      </c>
      <c r="T87" s="251">
        <v>0</v>
      </c>
      <c r="U87" s="252">
        <v>0</v>
      </c>
      <c r="V87" s="251">
        <v>0</v>
      </c>
      <c r="W87" s="253">
        <v>1829.48</v>
      </c>
      <c r="X87" s="252">
        <v>0.1383</v>
      </c>
      <c r="Y87" s="252">
        <v>0.8617</v>
      </c>
      <c r="Z87" s="251">
        <v>1.03</v>
      </c>
      <c r="AA87" s="251">
        <v>64.43</v>
      </c>
      <c r="AB87" s="251">
        <v>72</v>
      </c>
      <c r="AC87" s="242">
        <f t="shared" si="14"/>
        <v>153.9175</v>
      </c>
      <c r="AD87" s="242"/>
      <c r="AE87" s="205"/>
      <c r="AF87" s="243">
        <f t="shared" si="15"/>
        <v>0.077744291276439</v>
      </c>
      <c r="AG87" s="244">
        <f t="shared" si="16"/>
        <v>1.56415808045166</v>
      </c>
      <c r="AH87" s="245">
        <f t="shared" si="17"/>
        <v>1.86657868736768</v>
      </c>
      <c r="AI87" s="246">
        <f t="shared" si="18"/>
        <v>0.049703602371181</v>
      </c>
      <c r="AJ87" s="208">
        <f t="shared" si="19"/>
        <v>0</v>
      </c>
      <c r="AK87" s="208">
        <f t="shared" si="20"/>
        <v>0.0278052223006351</v>
      </c>
      <c r="AL87" s="205"/>
      <c r="AM87" s="205"/>
      <c r="AN87" s="205"/>
      <c r="AO87" s="205"/>
      <c r="AP87" s="205"/>
      <c r="AQ87" s="205"/>
      <c r="AR87" s="205"/>
      <c r="AS87" s="205"/>
      <c r="AT87" s="205"/>
      <c r="AU87" s="205"/>
      <c r="AV87" s="205"/>
      <c r="AW87" s="205"/>
      <c r="AX87" s="205"/>
      <c r="AY87" s="205"/>
      <c r="AZ87" s="205"/>
      <c r="BA87" s="205"/>
      <c r="BB87" s="205"/>
      <c r="BC87" s="205"/>
      <c r="BD87" s="205"/>
      <c r="BE87" s="205"/>
      <c r="BF87" s="205"/>
      <c r="BG87" s="205"/>
      <c r="BH87" s="205"/>
    </row>
    <row r="88" ht="14.5" hidden="1" outlineLevel="1" spans="1:60">
      <c r="A88" s="236">
        <v>45561</v>
      </c>
      <c r="B88" s="102">
        <v>7503.19</v>
      </c>
      <c r="C88" s="102">
        <v>95792</v>
      </c>
      <c r="D88" s="249">
        <v>0.0463</v>
      </c>
      <c r="E88" s="102">
        <v>4435</v>
      </c>
      <c r="F88" s="250">
        <v>78.33</v>
      </c>
      <c r="G88" s="251">
        <v>1.33</v>
      </c>
      <c r="H88" s="251">
        <v>144</v>
      </c>
      <c r="I88" s="102">
        <v>9982.96</v>
      </c>
      <c r="J88" s="251">
        <v>137</v>
      </c>
      <c r="K88" s="102">
        <v>9582.45</v>
      </c>
      <c r="L88" s="102">
        <v>0</v>
      </c>
      <c r="M88" s="251">
        <v>1.28</v>
      </c>
      <c r="N88" s="250">
        <v>1.69</v>
      </c>
      <c r="O88" s="251">
        <v>135</v>
      </c>
      <c r="P88" s="249">
        <v>0.0304</v>
      </c>
      <c r="Q88" s="251">
        <v>55.58</v>
      </c>
      <c r="R88" s="250">
        <v>69.94</v>
      </c>
      <c r="S88" s="102">
        <v>5642</v>
      </c>
      <c r="T88" s="251">
        <v>0</v>
      </c>
      <c r="U88" s="252">
        <v>0</v>
      </c>
      <c r="V88" s="251">
        <v>0</v>
      </c>
      <c r="W88" s="251">
        <v>883.78</v>
      </c>
      <c r="X88" s="252">
        <v>0.0922</v>
      </c>
      <c r="Y88" s="252">
        <v>0.9078</v>
      </c>
      <c r="Z88" s="251">
        <v>1.16</v>
      </c>
      <c r="AA88" s="251">
        <v>60.03</v>
      </c>
      <c r="AB88" s="251">
        <v>47</v>
      </c>
      <c r="AC88" s="242">
        <f t="shared" si="14"/>
        <v>159.642340425532</v>
      </c>
      <c r="AD88" s="242"/>
      <c r="AE88" s="205"/>
      <c r="AF88" s="243">
        <f t="shared" si="15"/>
        <v>0.0783279397026892</v>
      </c>
      <c r="AG88" s="244">
        <f t="shared" si="16"/>
        <v>1.32988124778447</v>
      </c>
      <c r="AH88" s="245">
        <f t="shared" si="17"/>
        <v>1.6984136830911</v>
      </c>
      <c r="AI88" s="246">
        <f t="shared" si="18"/>
        <v>0.0588984466343745</v>
      </c>
      <c r="AJ88" s="208">
        <f t="shared" si="19"/>
        <v>0</v>
      </c>
      <c r="AK88" s="208">
        <f t="shared" si="20"/>
        <v>0.0239276852180078</v>
      </c>
      <c r="AL88" s="205"/>
      <c r="AM88" s="205"/>
      <c r="AN88" s="205"/>
      <c r="AO88" s="205"/>
      <c r="AP88" s="205"/>
      <c r="AQ88" s="205"/>
      <c r="AR88" s="205"/>
      <c r="AS88" s="205"/>
      <c r="AT88" s="205"/>
      <c r="AU88" s="205"/>
      <c r="AV88" s="205"/>
      <c r="AW88" s="205"/>
      <c r="AX88" s="205"/>
      <c r="AY88" s="205"/>
      <c r="AZ88" s="205"/>
      <c r="BA88" s="205"/>
      <c r="BB88" s="205"/>
      <c r="BC88" s="205"/>
      <c r="BD88" s="205"/>
      <c r="BE88" s="205"/>
      <c r="BF88" s="205"/>
      <c r="BG88" s="205"/>
      <c r="BH88" s="205"/>
    </row>
    <row r="89" ht="14.5" hidden="1" outlineLevel="1" spans="1:60">
      <c r="A89" s="236">
        <v>45562</v>
      </c>
      <c r="B89" s="102">
        <v>10292.89</v>
      </c>
      <c r="C89" s="102">
        <v>147185</v>
      </c>
      <c r="D89" s="249">
        <v>0.0408</v>
      </c>
      <c r="E89" s="102">
        <v>6000</v>
      </c>
      <c r="F89" s="250">
        <v>69.93</v>
      </c>
      <c r="G89" s="251">
        <v>1.25</v>
      </c>
      <c r="H89" s="251">
        <v>193</v>
      </c>
      <c r="I89" s="102">
        <v>12882.76</v>
      </c>
      <c r="J89" s="251">
        <v>186</v>
      </c>
      <c r="K89" s="102">
        <v>12600.36</v>
      </c>
      <c r="L89" s="102">
        <v>0</v>
      </c>
      <c r="M89" s="251">
        <v>1.22</v>
      </c>
      <c r="N89" s="250">
        <v>1.72</v>
      </c>
      <c r="O89" s="251">
        <v>185</v>
      </c>
      <c r="P89" s="249">
        <v>0.0308</v>
      </c>
      <c r="Q89" s="251">
        <v>55.64</v>
      </c>
      <c r="R89" s="250">
        <v>67.74</v>
      </c>
      <c r="S89" s="102">
        <v>7186</v>
      </c>
      <c r="T89" s="251">
        <v>0</v>
      </c>
      <c r="U89" s="252">
        <v>0</v>
      </c>
      <c r="V89" s="251">
        <v>0</v>
      </c>
      <c r="W89" s="253">
        <v>1253.48</v>
      </c>
      <c r="X89" s="252">
        <v>0.0995</v>
      </c>
      <c r="Y89" s="252">
        <v>0.9005</v>
      </c>
      <c r="Z89" s="251">
        <v>1.1</v>
      </c>
      <c r="AA89" s="251">
        <v>62.01</v>
      </c>
      <c r="AB89" s="251">
        <v>71</v>
      </c>
      <c r="AC89" s="242">
        <f t="shared" si="14"/>
        <v>144.970281690141</v>
      </c>
      <c r="AD89" s="242"/>
      <c r="AE89" s="205"/>
      <c r="AF89" s="243">
        <f t="shared" si="15"/>
        <v>0.0699316506437477</v>
      </c>
      <c r="AG89" s="244">
        <f t="shared" si="16"/>
        <v>1.43235318675202</v>
      </c>
      <c r="AH89" s="245">
        <f t="shared" si="17"/>
        <v>1.75345950459226</v>
      </c>
      <c r="AI89" s="246">
        <f t="shared" si="18"/>
        <v>0.0488229099432687</v>
      </c>
      <c r="AJ89" s="208">
        <f t="shared" si="19"/>
        <v>0</v>
      </c>
      <c r="AK89" s="208">
        <f t="shared" si="20"/>
        <v>0.025744503200668</v>
      </c>
      <c r="AL89" s="205"/>
      <c r="AM89" s="205"/>
      <c r="AN89" s="205"/>
      <c r="AO89" s="205"/>
      <c r="AP89" s="205"/>
      <c r="AQ89" s="205"/>
      <c r="AR89" s="205"/>
      <c r="AS89" s="205"/>
      <c r="AT89" s="205"/>
      <c r="AU89" s="205"/>
      <c r="AV89" s="205"/>
      <c r="AW89" s="205"/>
      <c r="AX89" s="205"/>
      <c r="AY89" s="205"/>
      <c r="AZ89" s="205"/>
      <c r="BA89" s="205"/>
      <c r="BB89" s="205"/>
      <c r="BC89" s="205"/>
      <c r="BD89" s="205"/>
      <c r="BE89" s="205"/>
      <c r="BF89" s="205"/>
      <c r="BG89" s="205"/>
      <c r="BH89" s="205"/>
    </row>
    <row r="90" ht="14.5" hidden="1" outlineLevel="1" spans="1:60">
      <c r="A90" s="236">
        <v>45563</v>
      </c>
      <c r="B90" s="102">
        <v>11226.43</v>
      </c>
      <c r="C90" s="102">
        <v>138214</v>
      </c>
      <c r="D90" s="249">
        <v>0.0455</v>
      </c>
      <c r="E90" s="102">
        <v>6288</v>
      </c>
      <c r="F90" s="250">
        <v>81.22</v>
      </c>
      <c r="G90" s="251">
        <v>1.37</v>
      </c>
      <c r="H90" s="251">
        <v>217</v>
      </c>
      <c r="I90" s="102">
        <v>15375.9</v>
      </c>
      <c r="J90" s="251">
        <v>208</v>
      </c>
      <c r="K90" s="102">
        <v>14819.4</v>
      </c>
      <c r="L90" s="102">
        <v>0</v>
      </c>
      <c r="M90" s="251">
        <v>1.32</v>
      </c>
      <c r="N90" s="250">
        <v>1.79</v>
      </c>
      <c r="O90" s="251">
        <v>210</v>
      </c>
      <c r="P90" s="249">
        <v>0.0334</v>
      </c>
      <c r="Q90" s="251">
        <v>53.46</v>
      </c>
      <c r="R90" s="250">
        <v>71.25</v>
      </c>
      <c r="S90" s="102">
        <v>9039</v>
      </c>
      <c r="T90" s="251">
        <v>0</v>
      </c>
      <c r="U90" s="252">
        <v>0</v>
      </c>
      <c r="V90" s="251">
        <v>0</v>
      </c>
      <c r="W90" s="253">
        <v>1165.49</v>
      </c>
      <c r="X90" s="252">
        <v>0.0786</v>
      </c>
      <c r="Y90" s="252">
        <v>0.9214</v>
      </c>
      <c r="Z90" s="251">
        <v>1.22</v>
      </c>
      <c r="AA90" s="251">
        <v>59.09</v>
      </c>
      <c r="AB90" s="251">
        <v>95</v>
      </c>
      <c r="AC90" s="242">
        <f t="shared" si="14"/>
        <v>118.172947368421</v>
      </c>
      <c r="AD90" s="242"/>
      <c r="AE90" s="205"/>
      <c r="AF90" s="243">
        <f t="shared" si="15"/>
        <v>0.0812249844444123</v>
      </c>
      <c r="AG90" s="244">
        <f t="shared" si="16"/>
        <v>1.24199911494634</v>
      </c>
      <c r="AH90" s="245">
        <f t="shared" si="17"/>
        <v>1.63949551941586</v>
      </c>
      <c r="AI90" s="246">
        <f t="shared" si="18"/>
        <v>0.0653985848032761</v>
      </c>
      <c r="AJ90" s="208">
        <f t="shared" si="19"/>
        <v>0</v>
      </c>
      <c r="AK90" s="208">
        <f t="shared" si="20"/>
        <v>0.0232326584799203</v>
      </c>
      <c r="AL90" s="205"/>
      <c r="AM90" s="205"/>
      <c r="AN90" s="205"/>
      <c r="AO90" s="205"/>
      <c r="AP90" s="205"/>
      <c r="AQ90" s="205"/>
      <c r="AR90" s="205"/>
      <c r="AS90" s="205"/>
      <c r="AT90" s="205"/>
      <c r="AU90" s="205"/>
      <c r="AV90" s="205"/>
      <c r="AW90" s="205"/>
      <c r="AX90" s="205"/>
      <c r="AY90" s="205"/>
      <c r="AZ90" s="205"/>
      <c r="BA90" s="205"/>
      <c r="BB90" s="205"/>
      <c r="BC90" s="205"/>
      <c r="BD90" s="205"/>
      <c r="BE90" s="205"/>
      <c r="BF90" s="205"/>
      <c r="BG90" s="205"/>
      <c r="BH90" s="205"/>
    </row>
    <row r="91" ht="14.5" hidden="1" outlineLevel="1" spans="1:60">
      <c r="A91" s="236">
        <v>45564</v>
      </c>
      <c r="B91" s="102">
        <v>13695.8</v>
      </c>
      <c r="C91" s="102">
        <v>187238</v>
      </c>
      <c r="D91" s="249">
        <v>0.0451</v>
      </c>
      <c r="E91" s="102">
        <v>8437</v>
      </c>
      <c r="F91" s="250">
        <v>73.15</v>
      </c>
      <c r="G91" s="251">
        <v>1.3</v>
      </c>
      <c r="H91" s="251">
        <v>262</v>
      </c>
      <c r="I91" s="102">
        <v>17806.48</v>
      </c>
      <c r="J91" s="251">
        <v>250</v>
      </c>
      <c r="K91" s="102">
        <v>17073.98</v>
      </c>
      <c r="L91" s="102">
        <v>0</v>
      </c>
      <c r="M91" s="251">
        <v>1.25</v>
      </c>
      <c r="N91" s="250">
        <v>1.62</v>
      </c>
      <c r="O91" s="251">
        <v>254</v>
      </c>
      <c r="P91" s="249">
        <v>0.0301</v>
      </c>
      <c r="Q91" s="251">
        <v>53.92</v>
      </c>
      <c r="R91" s="250">
        <v>68.3</v>
      </c>
      <c r="S91" s="102">
        <v>10888</v>
      </c>
      <c r="T91" s="251">
        <v>0</v>
      </c>
      <c r="U91" s="252">
        <v>0</v>
      </c>
      <c r="V91" s="251">
        <v>0</v>
      </c>
      <c r="W91" s="253">
        <v>1911.38</v>
      </c>
      <c r="X91" s="252">
        <v>0.1119</v>
      </c>
      <c r="Y91" s="252">
        <v>0.8881</v>
      </c>
      <c r="Z91" s="251">
        <v>1.11</v>
      </c>
      <c r="AA91" s="251">
        <v>62.82</v>
      </c>
      <c r="AB91" s="251">
        <v>73</v>
      </c>
      <c r="AC91" s="242">
        <f t="shared" si="14"/>
        <v>187.613698630137</v>
      </c>
      <c r="AD91" s="242"/>
      <c r="AE91" s="205"/>
      <c r="AF91" s="243">
        <f t="shared" si="15"/>
        <v>0.073146476676743</v>
      </c>
      <c r="AG91" s="244">
        <f t="shared" si="16"/>
        <v>1.25788023512123</v>
      </c>
      <c r="AH91" s="245">
        <f t="shared" si="17"/>
        <v>1.56814658339456</v>
      </c>
      <c r="AI91" s="246">
        <f t="shared" si="18"/>
        <v>0.0581505890898215</v>
      </c>
      <c r="AJ91" s="208">
        <f t="shared" si="19"/>
        <v>0</v>
      </c>
      <c r="AK91" s="208">
        <f t="shared" si="20"/>
        <v>0.0233284349742836</v>
      </c>
      <c r="AL91" s="205"/>
      <c r="AM91" s="205"/>
      <c r="AN91" s="205"/>
      <c r="AO91" s="205"/>
      <c r="AP91" s="205"/>
      <c r="AQ91" s="205"/>
      <c r="AR91" s="205"/>
      <c r="AS91" s="205"/>
      <c r="AT91" s="205"/>
      <c r="AU91" s="205"/>
      <c r="AV91" s="205"/>
      <c r="AW91" s="205"/>
      <c r="AX91" s="205"/>
      <c r="AY91" s="205"/>
      <c r="AZ91" s="205"/>
      <c r="BA91" s="205"/>
      <c r="BB91" s="205"/>
      <c r="BC91" s="205"/>
      <c r="BD91" s="205"/>
      <c r="BE91" s="205"/>
      <c r="BF91" s="205"/>
      <c r="BG91" s="205"/>
      <c r="BH91" s="205"/>
    </row>
    <row r="92" ht="14.5" hidden="1" outlineLevel="1" spans="1:60">
      <c r="A92" s="236">
        <v>45565</v>
      </c>
      <c r="B92" s="102">
        <v>103304.5</v>
      </c>
      <c r="C92" s="102">
        <v>1342434</v>
      </c>
      <c r="D92" s="249">
        <v>0.063</v>
      </c>
      <c r="E92" s="102">
        <v>84515</v>
      </c>
      <c r="F92" s="250">
        <v>76.95</v>
      </c>
      <c r="G92" s="251">
        <v>1.41</v>
      </c>
      <c r="H92" s="254">
        <v>1944</v>
      </c>
      <c r="I92" s="102">
        <v>98952.31</v>
      </c>
      <c r="J92" s="254">
        <v>1922</v>
      </c>
      <c r="K92" s="102">
        <v>97547.81</v>
      </c>
      <c r="L92" s="102">
        <v>46191.63</v>
      </c>
      <c r="M92" s="251">
        <v>1.39</v>
      </c>
      <c r="N92" s="250">
        <v>1.22</v>
      </c>
      <c r="O92" s="254">
        <v>1911</v>
      </c>
      <c r="P92" s="249">
        <v>0.0226</v>
      </c>
      <c r="Q92" s="251">
        <v>54.06</v>
      </c>
      <c r="R92" s="250">
        <v>50.75</v>
      </c>
      <c r="S92" s="102">
        <v>97047</v>
      </c>
      <c r="T92" s="251">
        <v>0</v>
      </c>
      <c r="U92" s="252">
        <v>0</v>
      </c>
      <c r="V92" s="251">
        <v>0</v>
      </c>
      <c r="W92" s="253">
        <v>10848.14</v>
      </c>
      <c r="X92" s="252">
        <v>0.1112</v>
      </c>
      <c r="Y92" s="252">
        <v>0.8888</v>
      </c>
      <c r="Z92" s="251">
        <v>1.24</v>
      </c>
      <c r="AA92" s="251">
        <v>60.91</v>
      </c>
      <c r="AB92" s="251">
        <v>538</v>
      </c>
      <c r="AC92" s="242">
        <f t="shared" si="14"/>
        <v>192.015799256506</v>
      </c>
      <c r="AD92" s="242"/>
      <c r="AE92" s="205"/>
      <c r="AF92" s="243">
        <f t="shared" si="15"/>
        <v>0.0769531314016183</v>
      </c>
      <c r="AG92" s="244">
        <f t="shared" si="16"/>
        <v>1.0644790668439</v>
      </c>
      <c r="AH92" s="245">
        <f t="shared" si="17"/>
        <v>1.48113223489649</v>
      </c>
      <c r="AI92" s="246">
        <f t="shared" si="18"/>
        <v>0.0722918221677937</v>
      </c>
      <c r="AJ92" s="208">
        <f t="shared" si="19"/>
        <v>0.32135668540242</v>
      </c>
      <c r="AK92" s="208">
        <f t="shared" si="20"/>
        <v>0.0196914896905623</v>
      </c>
      <c r="AL92" s="205"/>
      <c r="AM92" s="205"/>
      <c r="AN92" s="205"/>
      <c r="AO92" s="205"/>
      <c r="AP92" s="205"/>
      <c r="AQ92" s="205"/>
      <c r="AR92" s="205"/>
      <c r="AS92" s="205"/>
      <c r="AT92" s="205"/>
      <c r="AU92" s="205"/>
      <c r="AV92" s="205"/>
      <c r="AW92" s="205"/>
      <c r="AX92" s="205"/>
      <c r="AY92" s="205"/>
      <c r="AZ92" s="205"/>
      <c r="BA92" s="205"/>
      <c r="BB92" s="205"/>
      <c r="BC92" s="205"/>
      <c r="BD92" s="205"/>
      <c r="BE92" s="205"/>
      <c r="BF92" s="205"/>
      <c r="BG92" s="205"/>
      <c r="BH92" s="205"/>
    </row>
    <row r="93" ht="14.5" collapsed="1" spans="1:60">
      <c r="A93" s="236">
        <v>45566</v>
      </c>
      <c r="B93" s="102">
        <v>89028.32</v>
      </c>
      <c r="C93" s="102">
        <v>982220</v>
      </c>
      <c r="D93" s="249">
        <v>0.0829</v>
      </c>
      <c r="E93" s="102">
        <v>81418</v>
      </c>
      <c r="F93" s="250">
        <v>90.64</v>
      </c>
      <c r="G93" s="251">
        <v>1.33</v>
      </c>
      <c r="H93" s="254">
        <v>1583</v>
      </c>
      <c r="I93" s="102">
        <v>80492.44</v>
      </c>
      <c r="J93" s="254">
        <v>1572</v>
      </c>
      <c r="K93" s="102">
        <v>80036.44</v>
      </c>
      <c r="L93" s="102">
        <v>38012.4</v>
      </c>
      <c r="M93" s="251">
        <v>1.33</v>
      </c>
      <c r="N93" s="250">
        <v>1.09</v>
      </c>
      <c r="O93" s="254">
        <v>1570</v>
      </c>
      <c r="P93" s="249">
        <v>0.0193</v>
      </c>
      <c r="Q93" s="251">
        <v>56.71</v>
      </c>
      <c r="R93" s="250">
        <v>50.91</v>
      </c>
      <c r="S93" s="102">
        <v>98478</v>
      </c>
      <c r="T93" s="251">
        <v>0</v>
      </c>
      <c r="U93" s="252">
        <v>0</v>
      </c>
      <c r="V93" s="251">
        <v>0</v>
      </c>
      <c r="W93" s="253">
        <v>7833.24</v>
      </c>
      <c r="X93" s="252">
        <v>0.0979</v>
      </c>
      <c r="Y93" s="252">
        <v>0.9021</v>
      </c>
      <c r="Z93" s="251">
        <v>1.2</v>
      </c>
      <c r="AA93" s="251">
        <v>62.74</v>
      </c>
      <c r="AB93" s="251">
        <v>480</v>
      </c>
      <c r="AC93" s="242">
        <f t="shared" si="14"/>
        <v>185.475666666667</v>
      </c>
      <c r="AD93" s="242"/>
      <c r="AE93" s="205"/>
      <c r="AF93" s="243">
        <f t="shared" si="15"/>
        <v>0.0906398973753334</v>
      </c>
      <c r="AG93" s="244">
        <f t="shared" si="16"/>
        <v>0.904042730356019</v>
      </c>
      <c r="AH93" s="245">
        <f t="shared" si="17"/>
        <v>1.19873311805682</v>
      </c>
      <c r="AI93" s="246">
        <f t="shared" si="18"/>
        <v>0.100260634073833</v>
      </c>
      <c r="AJ93" s="208">
        <f t="shared" si="19"/>
        <v>0.32200570543514</v>
      </c>
      <c r="AK93" s="208">
        <f t="shared" si="20"/>
        <v>0.0159426470886899</v>
      </c>
      <c r="AL93" s="205"/>
      <c r="AM93" s="205"/>
      <c r="AN93" s="205"/>
      <c r="AO93" s="205"/>
      <c r="AP93" s="205"/>
      <c r="AQ93" s="205"/>
      <c r="AR93" s="205"/>
      <c r="AS93" s="205"/>
      <c r="AT93" s="205"/>
      <c r="AU93" s="205"/>
      <c r="AV93" s="205"/>
      <c r="AW93" s="205"/>
      <c r="AX93" s="205"/>
      <c r="AY93" s="205"/>
      <c r="AZ93" s="205"/>
      <c r="BA93" s="205"/>
      <c r="BB93" s="205"/>
      <c r="BC93" s="205"/>
      <c r="BD93" s="205"/>
      <c r="BE93" s="205"/>
      <c r="BF93" s="205"/>
      <c r="BG93" s="205"/>
      <c r="BH93" s="205"/>
    </row>
    <row r="94" ht="14.5" spans="1:60">
      <c r="A94" s="236">
        <v>45567</v>
      </c>
      <c r="B94" s="102">
        <v>102502.64</v>
      </c>
      <c r="C94" s="102">
        <v>1223045</v>
      </c>
      <c r="D94" s="249">
        <v>0.0664</v>
      </c>
      <c r="E94" s="102">
        <v>81216</v>
      </c>
      <c r="F94" s="250">
        <v>83.81</v>
      </c>
      <c r="G94" s="251">
        <v>1.34</v>
      </c>
      <c r="H94" s="254">
        <v>1836</v>
      </c>
      <c r="I94" s="102">
        <v>100712.75</v>
      </c>
      <c r="J94" s="254">
        <v>1816</v>
      </c>
      <c r="K94" s="102">
        <v>99581.07</v>
      </c>
      <c r="L94" s="102">
        <v>36636.63</v>
      </c>
      <c r="M94" s="251">
        <v>1.33</v>
      </c>
      <c r="N94" s="250">
        <v>1.26</v>
      </c>
      <c r="O94" s="254">
        <v>1809</v>
      </c>
      <c r="P94" s="249">
        <v>0.0223</v>
      </c>
      <c r="Q94" s="251">
        <v>56.66</v>
      </c>
      <c r="R94" s="250">
        <v>54.84</v>
      </c>
      <c r="S94" s="102">
        <v>98108</v>
      </c>
      <c r="T94" s="251">
        <v>0</v>
      </c>
      <c r="U94" s="252">
        <v>0</v>
      </c>
      <c r="V94" s="251">
        <v>0</v>
      </c>
      <c r="W94" s="253">
        <v>10343.64</v>
      </c>
      <c r="X94" s="252">
        <v>0.1039</v>
      </c>
      <c r="Y94" s="252">
        <v>0.8961</v>
      </c>
      <c r="Z94" s="251">
        <v>1.19</v>
      </c>
      <c r="AA94" s="251">
        <v>63.47</v>
      </c>
      <c r="AB94" s="251">
        <v>533</v>
      </c>
      <c r="AC94" s="242">
        <f t="shared" si="14"/>
        <v>192.312645403377</v>
      </c>
      <c r="AD94" s="242"/>
      <c r="AE94" s="205"/>
      <c r="AF94" s="243">
        <f t="shared" si="15"/>
        <v>0.0838093774145677</v>
      </c>
      <c r="AG94" s="244">
        <f t="shared" si="16"/>
        <v>1.04479390059934</v>
      </c>
      <c r="AH94" s="245">
        <f t="shared" si="17"/>
        <v>1.38844640600155</v>
      </c>
      <c r="AI94" s="246">
        <f t="shared" si="18"/>
        <v>0.0802161817431084</v>
      </c>
      <c r="AJ94" s="208">
        <f t="shared" si="19"/>
        <v>0.268956457200496</v>
      </c>
      <c r="AK94" s="208">
        <f t="shared" si="20"/>
        <v>0.0184388632935133</v>
      </c>
      <c r="AL94" s="205"/>
      <c r="AM94" s="205"/>
      <c r="AN94" s="205"/>
      <c r="AO94" s="205"/>
      <c r="AP94" s="205"/>
      <c r="AQ94" s="205"/>
      <c r="AR94" s="205"/>
      <c r="AS94" s="205"/>
      <c r="AT94" s="205"/>
      <c r="AU94" s="205"/>
      <c r="AV94" s="205"/>
      <c r="AW94" s="205"/>
      <c r="AX94" s="205"/>
      <c r="AY94" s="205"/>
      <c r="AZ94" s="205"/>
      <c r="BA94" s="205"/>
      <c r="BB94" s="205"/>
      <c r="BC94" s="205"/>
      <c r="BD94" s="205"/>
      <c r="BE94" s="205"/>
      <c r="BF94" s="205"/>
      <c r="BG94" s="205"/>
      <c r="BH94" s="205"/>
    </row>
    <row r="95" ht="14.5" spans="1:60">
      <c r="A95" s="236">
        <v>45568</v>
      </c>
      <c r="B95" s="102">
        <v>70578.97</v>
      </c>
      <c r="C95" s="102">
        <v>759102</v>
      </c>
      <c r="D95" s="249">
        <v>0.072</v>
      </c>
      <c r="E95" s="102">
        <v>54638</v>
      </c>
      <c r="F95" s="250">
        <v>92.98</v>
      </c>
      <c r="G95" s="251">
        <v>1.33</v>
      </c>
      <c r="H95" s="254">
        <v>1270</v>
      </c>
      <c r="I95" s="102">
        <v>66592.47</v>
      </c>
      <c r="J95" s="254">
        <v>1253</v>
      </c>
      <c r="K95" s="102">
        <v>65796.17</v>
      </c>
      <c r="L95" s="102">
        <v>27411.9</v>
      </c>
      <c r="M95" s="251">
        <v>1.32</v>
      </c>
      <c r="N95" s="250">
        <v>1.29</v>
      </c>
      <c r="O95" s="254">
        <v>1246</v>
      </c>
      <c r="P95" s="249">
        <v>0.0228</v>
      </c>
      <c r="Q95" s="251">
        <v>56.64</v>
      </c>
      <c r="R95" s="250">
        <v>52.51</v>
      </c>
      <c r="S95" s="102">
        <v>58398</v>
      </c>
      <c r="T95" s="251">
        <v>0</v>
      </c>
      <c r="U95" s="252">
        <v>0</v>
      </c>
      <c r="V95" s="251">
        <v>0</v>
      </c>
      <c r="W95" s="253">
        <v>6758.53</v>
      </c>
      <c r="X95" s="252">
        <v>0.1027</v>
      </c>
      <c r="Y95" s="252">
        <v>0.8973</v>
      </c>
      <c r="Z95" s="251">
        <v>1.18</v>
      </c>
      <c r="AA95" s="251">
        <v>63.13</v>
      </c>
      <c r="AB95" s="251">
        <v>432</v>
      </c>
      <c r="AC95" s="242">
        <f t="shared" si="14"/>
        <v>163.37724537037</v>
      </c>
      <c r="AD95" s="242"/>
      <c r="AE95" s="205"/>
      <c r="AF95" s="243">
        <f t="shared" si="15"/>
        <v>0.0929769253670785</v>
      </c>
      <c r="AG95" s="244">
        <f t="shared" si="16"/>
        <v>1.20858539676016</v>
      </c>
      <c r="AH95" s="245">
        <f t="shared" si="17"/>
        <v>1.5960832562759</v>
      </c>
      <c r="AI95" s="246">
        <f t="shared" si="18"/>
        <v>0.0769303729933527</v>
      </c>
      <c r="AJ95" s="208">
        <f t="shared" si="19"/>
        <v>0.294093633737937</v>
      </c>
      <c r="AK95" s="208">
        <f t="shared" si="20"/>
        <v>0.0213363471351759</v>
      </c>
      <c r="AL95" s="205"/>
      <c r="AM95" s="205"/>
      <c r="AN95" s="205"/>
      <c r="AO95" s="205"/>
      <c r="AP95" s="205"/>
      <c r="AQ95" s="205"/>
      <c r="AR95" s="205"/>
      <c r="AS95" s="205"/>
      <c r="AT95" s="205"/>
      <c r="AU95" s="205"/>
      <c r="AV95" s="205"/>
      <c r="AW95" s="205"/>
      <c r="AX95" s="205"/>
      <c r="AY95" s="205"/>
      <c r="AZ95" s="205"/>
      <c r="BA95" s="205"/>
      <c r="BB95" s="205"/>
      <c r="BC95" s="205"/>
      <c r="BD95" s="205"/>
      <c r="BE95" s="205"/>
      <c r="BF95" s="205"/>
      <c r="BG95" s="205"/>
      <c r="BH95" s="205"/>
    </row>
    <row r="96" ht="14.5" spans="1:60">
      <c r="A96" s="236">
        <v>45569</v>
      </c>
      <c r="B96" s="102">
        <v>60135.81</v>
      </c>
      <c r="C96" s="102">
        <v>684932</v>
      </c>
      <c r="D96" s="249">
        <v>0.0595</v>
      </c>
      <c r="E96" s="102">
        <v>40733</v>
      </c>
      <c r="F96" s="250">
        <v>87.8</v>
      </c>
      <c r="G96" s="251">
        <v>1.43</v>
      </c>
      <c r="H96" s="254">
        <v>1152</v>
      </c>
      <c r="I96" s="102">
        <v>65005.54</v>
      </c>
      <c r="J96" s="254">
        <v>1135</v>
      </c>
      <c r="K96" s="102">
        <v>63966.44</v>
      </c>
      <c r="L96" s="102">
        <v>20901.2</v>
      </c>
      <c r="M96" s="251">
        <v>1.41</v>
      </c>
      <c r="N96" s="250">
        <v>1.48</v>
      </c>
      <c r="O96" s="254">
        <v>1132</v>
      </c>
      <c r="P96" s="249">
        <v>0.0278</v>
      </c>
      <c r="Q96" s="251">
        <v>53.12</v>
      </c>
      <c r="R96" s="250">
        <v>56.36</v>
      </c>
      <c r="S96" s="102">
        <v>43936</v>
      </c>
      <c r="T96" s="251">
        <v>0</v>
      </c>
      <c r="U96" s="252">
        <v>0</v>
      </c>
      <c r="V96" s="251">
        <v>0</v>
      </c>
      <c r="W96" s="253">
        <v>5693.63</v>
      </c>
      <c r="X96" s="252">
        <v>0.089</v>
      </c>
      <c r="Y96" s="252">
        <v>0.911</v>
      </c>
      <c r="Z96" s="251">
        <v>1.28</v>
      </c>
      <c r="AA96" s="251">
        <v>58.9</v>
      </c>
      <c r="AB96" s="251">
        <v>340</v>
      </c>
      <c r="AC96" s="242">
        <f t="shared" ref="AC96:AC120" si="21">B96/AB96</f>
        <v>176.870029411765</v>
      </c>
      <c r="AD96" s="242"/>
      <c r="AE96" s="205"/>
      <c r="AF96" s="243">
        <f t="shared" ref="AF96:AF120" si="22">B96/C96</f>
        <v>0.087798219385282</v>
      </c>
      <c r="AG96" s="244">
        <f t="shared" ref="AG96:AG120" si="23">B96/S96</f>
        <v>1.36871381099781</v>
      </c>
      <c r="AH96" s="245">
        <f t="shared" ref="AH96:AH120" si="24">(K96+L96)/S96</f>
        <v>1.93161962855062</v>
      </c>
      <c r="AI96" s="246">
        <f t="shared" ref="AI96:AI120" si="25">S96/C96</f>
        <v>0.0641465138145101</v>
      </c>
      <c r="AJ96" s="208">
        <f t="shared" ref="AJ96:AJ120" si="26">L96/(K96+L96)</f>
        <v>0.246279971965758</v>
      </c>
      <c r="AK96" s="208">
        <f t="shared" si="20"/>
        <v>0.0257647487254188</v>
      </c>
      <c r="AL96" s="205"/>
      <c r="AM96" s="205"/>
      <c r="AN96" s="205"/>
      <c r="AO96" s="205"/>
      <c r="AP96" s="205"/>
      <c r="AQ96" s="205"/>
      <c r="AR96" s="205"/>
      <c r="AS96" s="205"/>
      <c r="AT96" s="205"/>
      <c r="AU96" s="205"/>
      <c r="AV96" s="205"/>
      <c r="AW96" s="205"/>
      <c r="AX96" s="205"/>
      <c r="AY96" s="205"/>
      <c r="AZ96" s="205"/>
      <c r="BA96" s="205"/>
      <c r="BB96" s="205"/>
      <c r="BC96" s="205"/>
      <c r="BD96" s="205"/>
      <c r="BE96" s="205"/>
      <c r="BF96" s="205"/>
      <c r="BG96" s="205"/>
      <c r="BH96" s="205"/>
    </row>
    <row r="97" ht="14.5" spans="1:60">
      <c r="A97" s="236">
        <v>45570</v>
      </c>
      <c r="B97" s="102">
        <v>52413.55</v>
      </c>
      <c r="C97" s="102">
        <v>505675</v>
      </c>
      <c r="D97" s="249">
        <v>0.0693</v>
      </c>
      <c r="E97" s="102">
        <v>35020</v>
      </c>
      <c r="F97" s="250">
        <v>103.65</v>
      </c>
      <c r="G97" s="251">
        <v>1.39</v>
      </c>
      <c r="H97" s="251">
        <v>977</v>
      </c>
      <c r="I97" s="102">
        <v>52458.38</v>
      </c>
      <c r="J97" s="251">
        <v>951</v>
      </c>
      <c r="K97" s="102">
        <v>51089.17</v>
      </c>
      <c r="L97" s="102">
        <v>20167.76</v>
      </c>
      <c r="M97" s="251">
        <v>1.36</v>
      </c>
      <c r="N97" s="250">
        <v>1.5</v>
      </c>
      <c r="O97" s="251">
        <v>947</v>
      </c>
      <c r="P97" s="249">
        <v>0.027</v>
      </c>
      <c r="Q97" s="251">
        <v>55.35</v>
      </c>
      <c r="R97" s="250">
        <v>53.72</v>
      </c>
      <c r="S97" s="102">
        <v>38133</v>
      </c>
      <c r="T97" s="251">
        <v>0</v>
      </c>
      <c r="U97" s="252">
        <v>0</v>
      </c>
      <c r="V97" s="251">
        <v>0</v>
      </c>
      <c r="W97" s="253">
        <v>5207.24</v>
      </c>
      <c r="X97" s="252">
        <v>0.1019</v>
      </c>
      <c r="Y97" s="252">
        <v>0.8981</v>
      </c>
      <c r="Z97" s="251">
        <v>1.22</v>
      </c>
      <c r="AA97" s="251">
        <v>62.18</v>
      </c>
      <c r="AB97" s="251">
        <v>213</v>
      </c>
      <c r="AC97" s="242">
        <f t="shared" si="21"/>
        <v>246.073004694836</v>
      </c>
      <c r="AD97" s="242"/>
      <c r="AE97" s="205"/>
      <c r="AF97" s="243">
        <f t="shared" si="22"/>
        <v>0.103650664952786</v>
      </c>
      <c r="AG97" s="244">
        <f t="shared" si="23"/>
        <v>1.37449322109459</v>
      </c>
      <c r="AH97" s="245">
        <f t="shared" si="24"/>
        <v>1.86864212099756</v>
      </c>
      <c r="AI97" s="246">
        <f t="shared" si="25"/>
        <v>0.0754100954170169</v>
      </c>
      <c r="AJ97" s="208">
        <f t="shared" si="26"/>
        <v>0.283028752431518</v>
      </c>
      <c r="AK97" s="208">
        <f t="shared" si="20"/>
        <v>0.0248341331654997</v>
      </c>
      <c r="AL97" s="205"/>
      <c r="AM97" s="205"/>
      <c r="AN97" s="205"/>
      <c r="AO97" s="205"/>
      <c r="AP97" s="205"/>
      <c r="AQ97" s="205"/>
      <c r="AR97" s="205"/>
      <c r="AS97" s="205"/>
      <c r="AT97" s="205"/>
      <c r="AU97" s="205"/>
      <c r="AV97" s="205"/>
      <c r="AW97" s="205"/>
      <c r="AX97" s="205"/>
      <c r="AY97" s="205"/>
      <c r="AZ97" s="205"/>
      <c r="BA97" s="205"/>
      <c r="BB97" s="205"/>
      <c r="BC97" s="205"/>
      <c r="BD97" s="205"/>
      <c r="BE97" s="205"/>
      <c r="BF97" s="205"/>
      <c r="BG97" s="205"/>
      <c r="BH97" s="205"/>
    </row>
    <row r="98" ht="14.5" spans="1:60">
      <c r="A98" s="236">
        <v>45571</v>
      </c>
      <c r="B98" s="102">
        <v>65277.63</v>
      </c>
      <c r="C98" s="102">
        <v>717687</v>
      </c>
      <c r="D98" s="249">
        <v>0.0709</v>
      </c>
      <c r="E98" s="102">
        <v>50867</v>
      </c>
      <c r="F98" s="250">
        <v>90.96</v>
      </c>
      <c r="G98" s="251">
        <v>1.3</v>
      </c>
      <c r="H98" s="254">
        <v>1183</v>
      </c>
      <c r="I98" s="102">
        <v>61928.03</v>
      </c>
      <c r="J98" s="254">
        <v>1163</v>
      </c>
      <c r="K98" s="102">
        <v>60930.73</v>
      </c>
      <c r="L98" s="102">
        <v>23035.27</v>
      </c>
      <c r="M98" s="251">
        <v>1.29</v>
      </c>
      <c r="N98" s="250">
        <v>1.28</v>
      </c>
      <c r="O98" s="254">
        <v>1160</v>
      </c>
      <c r="P98" s="249">
        <v>0.0228</v>
      </c>
      <c r="Q98" s="251">
        <v>56.27</v>
      </c>
      <c r="R98" s="250">
        <v>52.39</v>
      </c>
      <c r="S98" s="102">
        <v>55255</v>
      </c>
      <c r="T98" s="251">
        <v>0</v>
      </c>
      <c r="U98" s="252">
        <v>0</v>
      </c>
      <c r="V98" s="251">
        <v>0</v>
      </c>
      <c r="W98" s="253">
        <v>6690.36</v>
      </c>
      <c r="X98" s="252">
        <v>0.1098</v>
      </c>
      <c r="Y98" s="252">
        <v>0.8902</v>
      </c>
      <c r="Z98" s="251">
        <v>1.15</v>
      </c>
      <c r="AA98" s="251">
        <v>62.89</v>
      </c>
      <c r="AB98" s="251">
        <v>315</v>
      </c>
      <c r="AC98" s="242">
        <f t="shared" si="21"/>
        <v>207.230571428571</v>
      </c>
      <c r="AD98" s="242"/>
      <c r="AE98" s="205"/>
      <c r="AF98" s="243">
        <f t="shared" si="22"/>
        <v>0.0909555697678793</v>
      </c>
      <c r="AG98" s="244">
        <f t="shared" si="23"/>
        <v>1.18138865261062</v>
      </c>
      <c r="AH98" s="245">
        <f t="shared" si="24"/>
        <v>1.51960908515067</v>
      </c>
      <c r="AI98" s="246">
        <f t="shared" si="25"/>
        <v>0.0769903871743532</v>
      </c>
      <c r="AJ98" s="208">
        <f t="shared" si="26"/>
        <v>0.274340447323917</v>
      </c>
      <c r="AK98" s="208">
        <f t="shared" si="20"/>
        <v>0.0209935752420595</v>
      </c>
      <c r="AL98" s="205"/>
      <c r="AM98" s="205"/>
      <c r="AN98" s="205"/>
      <c r="AO98" s="205"/>
      <c r="AP98" s="205"/>
      <c r="AQ98" s="205"/>
      <c r="AR98" s="205"/>
      <c r="AS98" s="205"/>
      <c r="AT98" s="205"/>
      <c r="AU98" s="205"/>
      <c r="AV98" s="205"/>
      <c r="AW98" s="205"/>
      <c r="AX98" s="205"/>
      <c r="AY98" s="205"/>
      <c r="AZ98" s="205"/>
      <c r="BA98" s="205"/>
      <c r="BB98" s="205"/>
      <c r="BC98" s="205"/>
      <c r="BD98" s="205"/>
      <c r="BE98" s="205"/>
      <c r="BF98" s="205"/>
      <c r="BG98" s="205"/>
      <c r="BH98" s="205"/>
    </row>
    <row r="99" ht="14.5" spans="1:60">
      <c r="A99" s="236">
        <v>45572</v>
      </c>
      <c r="B99" s="102">
        <v>65991.68</v>
      </c>
      <c r="C99" s="102">
        <v>652406</v>
      </c>
      <c r="D99" s="249">
        <v>0.067</v>
      </c>
      <c r="E99" s="102">
        <v>43690</v>
      </c>
      <c r="F99" s="250">
        <v>101.15</v>
      </c>
      <c r="G99" s="251">
        <v>1.31</v>
      </c>
      <c r="H99" s="254">
        <v>1178</v>
      </c>
      <c r="I99" s="102">
        <v>63627.28</v>
      </c>
      <c r="J99" s="254">
        <v>1167</v>
      </c>
      <c r="K99" s="102">
        <v>62971.38</v>
      </c>
      <c r="L99" s="102">
        <v>23117.95</v>
      </c>
      <c r="M99" s="251">
        <v>1.3</v>
      </c>
      <c r="N99" s="250">
        <v>1.51</v>
      </c>
      <c r="O99" s="254">
        <v>1158</v>
      </c>
      <c r="P99" s="249">
        <v>0.0265</v>
      </c>
      <c r="Q99" s="251">
        <v>56.99</v>
      </c>
      <c r="R99" s="250">
        <v>53.96</v>
      </c>
      <c r="S99" s="102">
        <v>48325</v>
      </c>
      <c r="T99" s="251">
        <v>0</v>
      </c>
      <c r="U99" s="252">
        <v>0</v>
      </c>
      <c r="V99" s="251">
        <v>0</v>
      </c>
      <c r="W99" s="253">
        <v>6566.83</v>
      </c>
      <c r="X99" s="252">
        <v>0.1043</v>
      </c>
      <c r="Y99" s="252">
        <v>0.8957</v>
      </c>
      <c r="Z99" s="251">
        <v>1.16</v>
      </c>
      <c r="AA99" s="251">
        <v>63.88</v>
      </c>
      <c r="AB99" s="251">
        <v>273</v>
      </c>
      <c r="AC99" s="242">
        <f t="shared" si="21"/>
        <v>241.727765567766</v>
      </c>
      <c r="AD99" s="242"/>
      <c r="AE99" s="205"/>
      <c r="AF99" s="243">
        <f t="shared" si="22"/>
        <v>0.101151246309813</v>
      </c>
      <c r="AG99" s="244">
        <f t="shared" si="23"/>
        <v>1.36558054837041</v>
      </c>
      <c r="AH99" s="245">
        <f t="shared" si="24"/>
        <v>1.78146570098293</v>
      </c>
      <c r="AI99" s="246">
        <f t="shared" si="25"/>
        <v>0.0740719735869995</v>
      </c>
      <c r="AJ99" s="208">
        <f t="shared" si="26"/>
        <v>0.268534439749967</v>
      </c>
      <c r="AK99" s="208">
        <f t="shared" si="20"/>
        <v>0.0239627521986549</v>
      </c>
      <c r="AL99" s="205"/>
      <c r="AM99" s="205"/>
      <c r="AN99" s="205"/>
      <c r="AO99" s="205"/>
      <c r="AP99" s="205"/>
      <c r="AQ99" s="205"/>
      <c r="AR99" s="205"/>
      <c r="AS99" s="205"/>
      <c r="AT99" s="205"/>
      <c r="AU99" s="205"/>
      <c r="AV99" s="205"/>
      <c r="AW99" s="205"/>
      <c r="AX99" s="205"/>
      <c r="AY99" s="205"/>
      <c r="AZ99" s="205"/>
      <c r="BA99" s="205"/>
      <c r="BB99" s="205"/>
      <c r="BC99" s="205"/>
      <c r="BD99" s="205"/>
      <c r="BE99" s="205"/>
      <c r="BF99" s="205"/>
      <c r="BG99" s="205"/>
      <c r="BH99" s="205"/>
    </row>
    <row r="100" ht="14.5" spans="1:60">
      <c r="A100" s="236">
        <v>45573</v>
      </c>
      <c r="B100" s="102">
        <v>75685.47</v>
      </c>
      <c r="C100" s="102">
        <v>798812</v>
      </c>
      <c r="D100" s="249">
        <v>0.0669</v>
      </c>
      <c r="E100" s="102">
        <v>53425</v>
      </c>
      <c r="F100" s="250">
        <v>94.75</v>
      </c>
      <c r="G100" s="251">
        <v>1.35</v>
      </c>
      <c r="H100" s="254">
        <v>1404</v>
      </c>
      <c r="I100" s="102">
        <v>74208.82</v>
      </c>
      <c r="J100" s="254">
        <v>1395</v>
      </c>
      <c r="K100" s="102">
        <v>73734.51</v>
      </c>
      <c r="L100" s="102">
        <v>27677.06</v>
      </c>
      <c r="M100" s="251">
        <v>1.34</v>
      </c>
      <c r="N100" s="250">
        <v>1.42</v>
      </c>
      <c r="O100" s="254">
        <v>1389</v>
      </c>
      <c r="P100" s="249">
        <v>0.026</v>
      </c>
      <c r="Q100" s="251">
        <v>54.49</v>
      </c>
      <c r="R100" s="250">
        <v>52.86</v>
      </c>
      <c r="S100" s="102">
        <v>59565</v>
      </c>
      <c r="T100" s="251">
        <v>0</v>
      </c>
      <c r="U100" s="252">
        <v>0</v>
      </c>
      <c r="V100" s="251">
        <v>0</v>
      </c>
      <c r="W100" s="253">
        <v>7912.86</v>
      </c>
      <c r="X100" s="252">
        <v>0.1073</v>
      </c>
      <c r="Y100" s="252">
        <v>0.8927</v>
      </c>
      <c r="Z100" s="251">
        <v>1.2</v>
      </c>
      <c r="AA100" s="251">
        <v>60.69</v>
      </c>
      <c r="AB100" s="251">
        <v>242</v>
      </c>
      <c r="AC100" s="242">
        <f t="shared" si="21"/>
        <v>312.749876033058</v>
      </c>
      <c r="AD100" s="242"/>
      <c r="AE100" s="205"/>
      <c r="AF100" s="243">
        <f t="shared" si="22"/>
        <v>0.0947475375933261</v>
      </c>
      <c r="AG100" s="244">
        <f t="shared" si="23"/>
        <v>1.2706366154621</v>
      </c>
      <c r="AH100" s="245">
        <f t="shared" si="24"/>
        <v>1.70253622093511</v>
      </c>
      <c r="AI100" s="246">
        <f t="shared" si="25"/>
        <v>0.0745669819682228</v>
      </c>
      <c r="AJ100" s="208">
        <f t="shared" si="26"/>
        <v>0.272918169001821</v>
      </c>
      <c r="AK100" s="208">
        <f t="shared" si="20"/>
        <v>0.0233190632082599</v>
      </c>
      <c r="AL100" s="205"/>
      <c r="AM100" s="205"/>
      <c r="AN100" s="205"/>
      <c r="AO100" s="205"/>
      <c r="AP100" s="205"/>
      <c r="AQ100" s="205"/>
      <c r="AR100" s="205"/>
      <c r="AS100" s="205"/>
      <c r="AT100" s="205"/>
      <c r="AU100" s="205"/>
      <c r="AV100" s="205"/>
      <c r="AW100" s="205"/>
      <c r="AX100" s="205"/>
      <c r="AY100" s="205"/>
      <c r="AZ100" s="205"/>
      <c r="BA100" s="205"/>
      <c r="BB100" s="205"/>
      <c r="BC100" s="205"/>
      <c r="BD100" s="205"/>
      <c r="BE100" s="205"/>
      <c r="BF100" s="205"/>
      <c r="BG100" s="205"/>
      <c r="BH100" s="205"/>
    </row>
    <row r="101" ht="14.5" spans="1:60">
      <c r="A101" s="236">
        <v>45574</v>
      </c>
      <c r="B101" s="102">
        <v>88.34</v>
      </c>
      <c r="C101" s="102">
        <v>2040</v>
      </c>
      <c r="D101" s="249">
        <v>0.0461</v>
      </c>
      <c r="E101" s="102">
        <v>94</v>
      </c>
      <c r="F101" s="250">
        <v>43.3</v>
      </c>
      <c r="G101" s="251">
        <v>0.79</v>
      </c>
      <c r="H101" s="251">
        <v>1</v>
      </c>
      <c r="I101" s="102">
        <v>69.9</v>
      </c>
      <c r="J101" s="251">
        <v>0</v>
      </c>
      <c r="K101" s="102">
        <v>0</v>
      </c>
      <c r="L101" s="102">
        <v>0</v>
      </c>
      <c r="M101" s="251">
        <v>0</v>
      </c>
      <c r="N101" s="250">
        <v>0.94</v>
      </c>
      <c r="O101" s="251">
        <v>0</v>
      </c>
      <c r="P101" s="249">
        <v>0</v>
      </c>
      <c r="Q101" s="251">
        <v>0</v>
      </c>
      <c r="R101" s="250">
        <v>0</v>
      </c>
      <c r="S101" s="102">
        <v>611</v>
      </c>
      <c r="T101" s="251">
        <v>0</v>
      </c>
      <c r="U101" s="252">
        <v>0</v>
      </c>
      <c r="V101" s="251">
        <v>0</v>
      </c>
      <c r="W101" s="251">
        <v>0</v>
      </c>
      <c r="X101" s="252">
        <v>0</v>
      </c>
      <c r="Y101" s="252">
        <v>0</v>
      </c>
      <c r="Z101" s="251">
        <v>0</v>
      </c>
      <c r="AA101" s="251">
        <v>0</v>
      </c>
      <c r="AB101" s="251">
        <v>1</v>
      </c>
      <c r="AC101" s="242">
        <f t="shared" si="21"/>
        <v>88.34</v>
      </c>
      <c r="AD101" s="242"/>
      <c r="AE101" s="205"/>
      <c r="AF101" s="243">
        <f t="shared" si="22"/>
        <v>0.0433039215686275</v>
      </c>
      <c r="AG101" s="244">
        <f t="shared" si="23"/>
        <v>0.144582651391162</v>
      </c>
      <c r="AH101" s="245">
        <f t="shared" si="24"/>
        <v>0</v>
      </c>
      <c r="AI101" s="246">
        <f t="shared" si="25"/>
        <v>0.299509803921569</v>
      </c>
      <c r="AJ101" s="208" t="e">
        <f t="shared" si="26"/>
        <v>#DIV/0!</v>
      </c>
      <c r="AK101" s="208">
        <f t="shared" ref="AK101:AK120" si="27">O101/S101</f>
        <v>0</v>
      </c>
      <c r="AL101" s="205"/>
      <c r="AM101" s="205"/>
      <c r="AN101" s="205"/>
      <c r="AO101" s="205"/>
      <c r="AP101" s="205"/>
      <c r="AQ101" s="205"/>
      <c r="AR101" s="205"/>
      <c r="AS101" s="205"/>
      <c r="AT101" s="205"/>
      <c r="AU101" s="205"/>
      <c r="AV101" s="205"/>
      <c r="AW101" s="205"/>
      <c r="AX101" s="205"/>
      <c r="AY101" s="205"/>
      <c r="AZ101" s="205"/>
      <c r="BA101" s="205"/>
      <c r="BB101" s="205"/>
      <c r="BC101" s="205"/>
      <c r="BD101" s="205"/>
      <c r="BE101" s="205"/>
      <c r="BF101" s="205"/>
      <c r="BG101" s="205"/>
      <c r="BH101" s="205"/>
    </row>
    <row r="102" ht="14.5" spans="1:60">
      <c r="A102" s="236">
        <v>45575</v>
      </c>
      <c r="B102" s="102">
        <v>0</v>
      </c>
      <c r="C102" s="102">
        <v>38</v>
      </c>
      <c r="D102" s="249">
        <v>0</v>
      </c>
      <c r="E102" s="102">
        <v>0</v>
      </c>
      <c r="F102" s="250">
        <v>0</v>
      </c>
      <c r="G102" s="251">
        <v>0</v>
      </c>
      <c r="H102" s="251">
        <v>0</v>
      </c>
      <c r="I102" s="102">
        <v>0</v>
      </c>
      <c r="J102" s="251">
        <v>0</v>
      </c>
      <c r="K102" s="102">
        <v>0</v>
      </c>
      <c r="L102" s="102">
        <v>0</v>
      </c>
      <c r="M102" s="251">
        <v>0</v>
      </c>
      <c r="N102" s="250">
        <v>0</v>
      </c>
      <c r="O102" s="251">
        <v>0</v>
      </c>
      <c r="P102" s="249">
        <v>0</v>
      </c>
      <c r="Q102" s="251">
        <v>0</v>
      </c>
      <c r="R102" s="250">
        <v>0</v>
      </c>
      <c r="S102" s="102">
        <v>374</v>
      </c>
      <c r="T102" s="251">
        <v>0</v>
      </c>
      <c r="U102" s="252">
        <v>0</v>
      </c>
      <c r="V102" s="251">
        <v>0</v>
      </c>
      <c r="W102" s="251">
        <v>0</v>
      </c>
      <c r="X102" s="252">
        <v>0</v>
      </c>
      <c r="Y102" s="252">
        <v>0</v>
      </c>
      <c r="Z102" s="251">
        <v>0</v>
      </c>
      <c r="AA102" s="251">
        <v>0</v>
      </c>
      <c r="AB102" s="251">
        <v>0</v>
      </c>
      <c r="AC102" s="242" t="e">
        <f t="shared" si="21"/>
        <v>#DIV/0!</v>
      </c>
      <c r="AD102" s="242"/>
      <c r="AE102" s="205"/>
      <c r="AF102" s="243">
        <f t="shared" si="22"/>
        <v>0</v>
      </c>
      <c r="AG102" s="244">
        <f t="shared" si="23"/>
        <v>0</v>
      </c>
      <c r="AH102" s="245">
        <f t="shared" si="24"/>
        <v>0</v>
      </c>
      <c r="AI102" s="246">
        <f t="shared" si="25"/>
        <v>9.8421052631579</v>
      </c>
      <c r="AJ102" s="208" t="e">
        <f t="shared" si="26"/>
        <v>#DIV/0!</v>
      </c>
      <c r="AK102" s="208">
        <f t="shared" si="27"/>
        <v>0</v>
      </c>
      <c r="AL102" s="205"/>
      <c r="AM102" s="205"/>
      <c r="AN102" s="205"/>
      <c r="AO102" s="205"/>
      <c r="AP102" s="205"/>
      <c r="AQ102" s="205"/>
      <c r="AR102" s="205"/>
      <c r="AS102" s="205"/>
      <c r="AT102" s="205"/>
      <c r="AU102" s="205"/>
      <c r="AV102" s="205"/>
      <c r="AW102" s="205"/>
      <c r="AX102" s="205"/>
      <c r="AY102" s="205"/>
      <c r="AZ102" s="205"/>
      <c r="BA102" s="205"/>
      <c r="BB102" s="205"/>
      <c r="BC102" s="205"/>
      <c r="BD102" s="205"/>
      <c r="BE102" s="205"/>
      <c r="BF102" s="205"/>
      <c r="BG102" s="205"/>
      <c r="BH102" s="205"/>
    </row>
    <row r="103" ht="14.5" spans="1:60">
      <c r="A103" s="236">
        <v>45576</v>
      </c>
      <c r="B103" s="102">
        <v>106810.12</v>
      </c>
      <c r="C103" s="102">
        <v>1042346</v>
      </c>
      <c r="D103" s="249">
        <v>0.0623</v>
      </c>
      <c r="E103" s="102">
        <v>64916</v>
      </c>
      <c r="F103" s="250">
        <v>102.47</v>
      </c>
      <c r="G103" s="251">
        <v>1.43</v>
      </c>
      <c r="H103" s="254">
        <v>2049</v>
      </c>
      <c r="I103" s="102">
        <v>106310.11</v>
      </c>
      <c r="J103" s="254">
        <v>2023</v>
      </c>
      <c r="K103" s="102">
        <v>104640.27</v>
      </c>
      <c r="L103" s="102">
        <v>46162.58</v>
      </c>
      <c r="M103" s="251">
        <v>1.41</v>
      </c>
      <c r="N103" s="250">
        <v>1.65</v>
      </c>
      <c r="O103" s="254">
        <v>2015</v>
      </c>
      <c r="P103" s="249">
        <v>0.031</v>
      </c>
      <c r="Q103" s="251">
        <v>53.01</v>
      </c>
      <c r="R103" s="250">
        <v>51.73</v>
      </c>
      <c r="S103" s="102">
        <v>72913</v>
      </c>
      <c r="T103" s="251">
        <v>0</v>
      </c>
      <c r="U103" s="252">
        <v>0</v>
      </c>
      <c r="V103" s="251">
        <v>0</v>
      </c>
      <c r="W103" s="253">
        <v>10849.64</v>
      </c>
      <c r="X103" s="252">
        <v>0.1037</v>
      </c>
      <c r="Y103" s="252">
        <v>0.8963</v>
      </c>
      <c r="Z103" s="251">
        <v>1.26</v>
      </c>
      <c r="AA103" s="251">
        <v>59.54</v>
      </c>
      <c r="AB103" s="251">
        <v>437</v>
      </c>
      <c r="AC103" s="242">
        <f t="shared" si="21"/>
        <v>244.416750572082</v>
      </c>
      <c r="AD103" s="242"/>
      <c r="AE103" s="205"/>
      <c r="AF103" s="243">
        <f t="shared" si="22"/>
        <v>0.102470887785822</v>
      </c>
      <c r="AG103" s="244">
        <f t="shared" si="23"/>
        <v>1.46489816630779</v>
      </c>
      <c r="AH103" s="245">
        <f t="shared" si="24"/>
        <v>2.06825737522801</v>
      </c>
      <c r="AI103" s="246">
        <f t="shared" si="25"/>
        <v>0.0699508608465903</v>
      </c>
      <c r="AJ103" s="208">
        <f t="shared" si="26"/>
        <v>0.306112119233821</v>
      </c>
      <c r="AK103" s="208">
        <f t="shared" si="27"/>
        <v>0.0276356753939627</v>
      </c>
      <c r="AL103" s="205"/>
      <c r="AM103" s="205"/>
      <c r="AN103" s="205"/>
      <c r="AO103" s="205"/>
      <c r="AP103" s="205"/>
      <c r="AQ103" s="205"/>
      <c r="AR103" s="205"/>
      <c r="AS103" s="205"/>
      <c r="AT103" s="205"/>
      <c r="AU103" s="205"/>
      <c r="AV103" s="205"/>
      <c r="AW103" s="205"/>
      <c r="AX103" s="205"/>
      <c r="AY103" s="205"/>
      <c r="AZ103" s="205"/>
      <c r="BA103" s="205"/>
      <c r="BB103" s="205"/>
      <c r="BC103" s="205"/>
      <c r="BD103" s="205"/>
      <c r="BE103" s="205"/>
      <c r="BF103" s="205"/>
      <c r="BG103" s="205"/>
      <c r="BH103" s="205"/>
    </row>
    <row r="104" ht="14.5" spans="1:60">
      <c r="A104" s="236">
        <v>45577</v>
      </c>
      <c r="B104" s="102">
        <v>88663.55</v>
      </c>
      <c r="C104" s="102">
        <v>963018</v>
      </c>
      <c r="D104" s="249">
        <v>0.052</v>
      </c>
      <c r="E104" s="102">
        <v>50067</v>
      </c>
      <c r="F104" s="250">
        <v>92.07</v>
      </c>
      <c r="G104" s="251">
        <v>1.42</v>
      </c>
      <c r="H104" s="254">
        <v>1664</v>
      </c>
      <c r="I104" s="102">
        <v>94480.3</v>
      </c>
      <c r="J104" s="254">
        <v>1632</v>
      </c>
      <c r="K104" s="102">
        <v>92983</v>
      </c>
      <c r="L104" s="102">
        <v>31315.35</v>
      </c>
      <c r="M104" s="251">
        <v>1.4</v>
      </c>
      <c r="N104" s="250">
        <v>1.77</v>
      </c>
      <c r="O104" s="254">
        <v>1601</v>
      </c>
      <c r="P104" s="249">
        <v>0.032</v>
      </c>
      <c r="Q104" s="251">
        <v>55.38</v>
      </c>
      <c r="R104" s="250">
        <v>56.97</v>
      </c>
      <c r="S104" s="102">
        <v>54347</v>
      </c>
      <c r="T104" s="251">
        <v>0</v>
      </c>
      <c r="U104" s="252">
        <v>0</v>
      </c>
      <c r="V104" s="251">
        <v>0</v>
      </c>
      <c r="W104" s="253">
        <v>11096.89</v>
      </c>
      <c r="X104" s="252">
        <v>0.1193</v>
      </c>
      <c r="Y104" s="252">
        <v>0.8807</v>
      </c>
      <c r="Z104" s="251">
        <v>1.24</v>
      </c>
      <c r="AA104" s="251">
        <v>62.26</v>
      </c>
      <c r="AB104" s="251">
        <v>394</v>
      </c>
      <c r="AC104" s="242">
        <f t="shared" si="21"/>
        <v>225.034390862944</v>
      </c>
      <c r="AD104" s="242"/>
      <c r="AE104" s="205"/>
      <c r="AF104" s="243">
        <f t="shared" si="22"/>
        <v>0.0920684244738935</v>
      </c>
      <c r="AG104" s="244">
        <f t="shared" si="23"/>
        <v>1.63143411779859</v>
      </c>
      <c r="AH104" s="245">
        <f t="shared" si="24"/>
        <v>2.28712440429095</v>
      </c>
      <c r="AI104" s="246">
        <f t="shared" si="25"/>
        <v>0.0564340438081116</v>
      </c>
      <c r="AJ104" s="208">
        <f t="shared" si="26"/>
        <v>0.251936972614681</v>
      </c>
      <c r="AK104" s="208">
        <f t="shared" si="27"/>
        <v>0.0294588477744862</v>
      </c>
      <c r="AL104" s="205"/>
      <c r="AM104" s="205"/>
      <c r="AN104" s="205"/>
      <c r="AO104" s="205"/>
      <c r="AP104" s="205"/>
      <c r="AQ104" s="205"/>
      <c r="AR104" s="205"/>
      <c r="AS104" s="205"/>
      <c r="AT104" s="205"/>
      <c r="AU104" s="205"/>
      <c r="AV104" s="205"/>
      <c r="AW104" s="205"/>
      <c r="AX104" s="205"/>
      <c r="AY104" s="205"/>
      <c r="AZ104" s="205"/>
      <c r="BA104" s="205"/>
      <c r="BB104" s="205"/>
      <c r="BC104" s="205"/>
      <c r="BD104" s="205"/>
      <c r="BE104" s="205"/>
      <c r="BF104" s="205"/>
      <c r="BG104" s="205"/>
      <c r="BH104" s="205"/>
    </row>
    <row r="105" ht="14.5" spans="1:60">
      <c r="A105" s="236">
        <v>45578</v>
      </c>
      <c r="B105" s="102">
        <v>82585.81</v>
      </c>
      <c r="C105" s="102">
        <v>913455</v>
      </c>
      <c r="D105" s="249">
        <v>0.0563</v>
      </c>
      <c r="E105" s="102">
        <v>51443</v>
      </c>
      <c r="F105" s="250">
        <v>90.41</v>
      </c>
      <c r="G105" s="251">
        <v>1.47</v>
      </c>
      <c r="H105" s="254">
        <v>1623</v>
      </c>
      <c r="I105" s="102">
        <v>88082.12</v>
      </c>
      <c r="J105" s="254">
        <v>1604</v>
      </c>
      <c r="K105" s="102">
        <v>86998.02</v>
      </c>
      <c r="L105" s="102">
        <v>33365.51</v>
      </c>
      <c r="M105" s="251">
        <v>1.46</v>
      </c>
      <c r="N105" s="250">
        <v>1.61</v>
      </c>
      <c r="O105" s="254">
        <v>1524</v>
      </c>
      <c r="P105" s="249">
        <v>0.0296</v>
      </c>
      <c r="Q105" s="251">
        <v>54.19</v>
      </c>
      <c r="R105" s="250">
        <v>54.24</v>
      </c>
      <c r="S105" s="102">
        <v>55508</v>
      </c>
      <c r="T105" s="251">
        <v>0</v>
      </c>
      <c r="U105" s="252">
        <v>0</v>
      </c>
      <c r="V105" s="251">
        <v>0</v>
      </c>
      <c r="W105" s="253">
        <v>9369.41</v>
      </c>
      <c r="X105" s="252">
        <v>0.1077</v>
      </c>
      <c r="Y105" s="252">
        <v>0.8923</v>
      </c>
      <c r="Z105" s="251">
        <v>1.3</v>
      </c>
      <c r="AA105" s="251">
        <v>58.45</v>
      </c>
      <c r="AB105" s="251">
        <v>335</v>
      </c>
      <c r="AC105" s="242">
        <f t="shared" si="21"/>
        <v>246.524805970149</v>
      </c>
      <c r="AD105" s="242"/>
      <c r="AE105" s="205"/>
      <c r="AF105" s="243">
        <f t="shared" si="22"/>
        <v>0.0904103759900597</v>
      </c>
      <c r="AG105" s="244">
        <f t="shared" si="23"/>
        <v>1.4878181523384</v>
      </c>
      <c r="AH105" s="245">
        <f t="shared" si="24"/>
        <v>2.16839969013476</v>
      </c>
      <c r="AI105" s="246">
        <f t="shared" si="25"/>
        <v>0.0607670875959954</v>
      </c>
      <c r="AJ105" s="208">
        <f t="shared" si="26"/>
        <v>0.277206143754674</v>
      </c>
      <c r="AK105" s="208">
        <f t="shared" si="27"/>
        <v>0.0274555019096346</v>
      </c>
      <c r="AL105" s="205"/>
      <c r="AM105" s="205"/>
      <c r="AN105" s="205"/>
      <c r="AO105" s="205"/>
      <c r="AP105" s="205"/>
      <c r="AQ105" s="205"/>
      <c r="AR105" s="205"/>
      <c r="AS105" s="205"/>
      <c r="AT105" s="205"/>
      <c r="AU105" s="205"/>
      <c r="AV105" s="205"/>
      <c r="AW105" s="205"/>
      <c r="AX105" s="205"/>
      <c r="AY105" s="205"/>
      <c r="AZ105" s="205"/>
      <c r="BA105" s="205"/>
      <c r="BB105" s="205"/>
      <c r="BC105" s="205"/>
      <c r="BD105" s="205"/>
      <c r="BE105" s="205"/>
      <c r="BF105" s="205"/>
      <c r="BG105" s="205"/>
      <c r="BH105" s="205"/>
    </row>
    <row r="106" ht="14.5" spans="1:60">
      <c r="A106" s="236">
        <v>45579</v>
      </c>
      <c r="B106" s="102">
        <v>96572.19</v>
      </c>
      <c r="C106" s="102">
        <v>1157414</v>
      </c>
      <c r="D106" s="249">
        <v>0.0464</v>
      </c>
      <c r="E106" s="102">
        <v>53680</v>
      </c>
      <c r="F106" s="250">
        <v>83.44</v>
      </c>
      <c r="G106" s="251">
        <v>1.41</v>
      </c>
      <c r="H106" s="254">
        <v>1796</v>
      </c>
      <c r="I106" s="102">
        <v>98673.03</v>
      </c>
      <c r="J106" s="254">
        <v>1775</v>
      </c>
      <c r="K106" s="102">
        <v>97393.23</v>
      </c>
      <c r="L106" s="102">
        <v>37918.4</v>
      </c>
      <c r="M106" s="251">
        <v>1.4</v>
      </c>
      <c r="N106" s="250">
        <v>1.8</v>
      </c>
      <c r="O106" s="254">
        <v>1735</v>
      </c>
      <c r="P106" s="249">
        <v>0.0323</v>
      </c>
      <c r="Q106" s="251">
        <v>55.66</v>
      </c>
      <c r="R106" s="250">
        <v>54.87</v>
      </c>
      <c r="S106" s="102">
        <v>60881</v>
      </c>
      <c r="T106" s="251">
        <v>0</v>
      </c>
      <c r="U106" s="252">
        <v>0</v>
      </c>
      <c r="V106" s="251">
        <v>0</v>
      </c>
      <c r="W106" s="253">
        <v>9663.07</v>
      </c>
      <c r="X106" s="252">
        <v>0.0992</v>
      </c>
      <c r="Y106" s="252">
        <v>0.9008</v>
      </c>
      <c r="Z106" s="251">
        <v>1.26</v>
      </c>
      <c r="AA106" s="251">
        <v>61.2</v>
      </c>
      <c r="AB106" s="251">
        <v>386</v>
      </c>
      <c r="AC106" s="242">
        <f t="shared" si="21"/>
        <v>250.187020725389</v>
      </c>
      <c r="AD106" s="242"/>
      <c r="AE106" s="205"/>
      <c r="AF106" s="243">
        <f t="shared" si="22"/>
        <v>0.0834378968977393</v>
      </c>
      <c r="AG106" s="244">
        <f t="shared" si="23"/>
        <v>1.58624513394984</v>
      </c>
      <c r="AH106" s="245">
        <f t="shared" si="24"/>
        <v>2.22255925493996</v>
      </c>
      <c r="AI106" s="246">
        <f t="shared" si="25"/>
        <v>0.0526008843853625</v>
      </c>
      <c r="AJ106" s="208">
        <f t="shared" si="26"/>
        <v>0.280230162034113</v>
      </c>
      <c r="AK106" s="208">
        <f t="shared" si="27"/>
        <v>0.0284982178347925</v>
      </c>
      <c r="AL106" s="205"/>
      <c r="AM106" s="205"/>
      <c r="AN106" s="205"/>
      <c r="AO106" s="205"/>
      <c r="AP106" s="205"/>
      <c r="AQ106" s="205"/>
      <c r="AR106" s="205"/>
      <c r="AS106" s="205"/>
      <c r="AT106" s="205"/>
      <c r="AU106" s="205"/>
      <c r="AV106" s="205"/>
      <c r="AW106" s="205"/>
      <c r="AX106" s="205"/>
      <c r="AY106" s="205"/>
      <c r="AZ106" s="205"/>
      <c r="BA106" s="205"/>
      <c r="BB106" s="205"/>
      <c r="BC106" s="205"/>
      <c r="BD106" s="205"/>
      <c r="BE106" s="205"/>
      <c r="BF106" s="205"/>
      <c r="BG106" s="205"/>
      <c r="BH106" s="205"/>
    </row>
    <row r="107" ht="14.5" spans="1:60">
      <c r="A107" s="236">
        <v>45580</v>
      </c>
      <c r="B107" s="102">
        <v>117519.46</v>
      </c>
      <c r="C107" s="102">
        <v>1334339</v>
      </c>
      <c r="D107" s="249">
        <v>0.0439</v>
      </c>
      <c r="E107" s="102">
        <v>58628</v>
      </c>
      <c r="F107" s="250">
        <v>88.07</v>
      </c>
      <c r="G107" s="251">
        <v>1.38</v>
      </c>
      <c r="H107" s="254">
        <v>2120</v>
      </c>
      <c r="I107" s="102">
        <v>117055.08</v>
      </c>
      <c r="J107" s="254">
        <v>2090</v>
      </c>
      <c r="K107" s="102">
        <v>115510.88</v>
      </c>
      <c r="L107" s="102">
        <v>44970.45</v>
      </c>
      <c r="M107" s="251">
        <v>1.37</v>
      </c>
      <c r="N107" s="250">
        <v>2</v>
      </c>
      <c r="O107" s="254">
        <v>2079</v>
      </c>
      <c r="P107" s="249">
        <v>0.0355</v>
      </c>
      <c r="Q107" s="251">
        <v>56.53</v>
      </c>
      <c r="R107" s="250">
        <v>55.27</v>
      </c>
      <c r="S107" s="102">
        <v>65606</v>
      </c>
      <c r="T107" s="251">
        <v>0</v>
      </c>
      <c r="U107" s="252">
        <v>0</v>
      </c>
      <c r="V107" s="251">
        <v>0</v>
      </c>
      <c r="W107" s="253">
        <v>12870.65</v>
      </c>
      <c r="X107" s="252">
        <v>0.1114</v>
      </c>
      <c r="Y107" s="252">
        <v>0.8886</v>
      </c>
      <c r="Z107" s="251">
        <v>1.21</v>
      </c>
      <c r="AA107" s="251">
        <v>63.77</v>
      </c>
      <c r="AB107" s="251">
        <v>416</v>
      </c>
      <c r="AC107" s="242">
        <f t="shared" si="21"/>
        <v>282.498701923077</v>
      </c>
      <c r="AD107" s="242"/>
      <c r="AE107" s="205"/>
      <c r="AF107" s="243">
        <f t="shared" si="22"/>
        <v>0.0880731658146843</v>
      </c>
      <c r="AG107" s="244">
        <f t="shared" si="23"/>
        <v>1.79129134530378</v>
      </c>
      <c r="AH107" s="245">
        <f t="shared" si="24"/>
        <v>2.44613800567021</v>
      </c>
      <c r="AI107" s="246">
        <f t="shared" si="25"/>
        <v>0.0491674154768766</v>
      </c>
      <c r="AJ107" s="208">
        <f t="shared" si="26"/>
        <v>0.280222316203386</v>
      </c>
      <c r="AK107" s="208">
        <f t="shared" si="27"/>
        <v>0.0316891747706003</v>
      </c>
      <c r="AL107" s="205"/>
      <c r="AM107" s="205"/>
      <c r="AN107" s="205"/>
      <c r="AO107" s="205"/>
      <c r="AP107" s="205"/>
      <c r="AQ107" s="205"/>
      <c r="AR107" s="205"/>
      <c r="AS107" s="205"/>
      <c r="AT107" s="205"/>
      <c r="AU107" s="205"/>
      <c r="AV107" s="205"/>
      <c r="AW107" s="205"/>
      <c r="AX107" s="205"/>
      <c r="AY107" s="205"/>
      <c r="AZ107" s="205"/>
      <c r="BA107" s="205"/>
      <c r="BB107" s="205"/>
      <c r="BC107" s="205"/>
      <c r="BD107" s="205"/>
      <c r="BE107" s="205"/>
      <c r="BF107" s="205"/>
      <c r="BG107" s="205"/>
      <c r="BH107" s="205"/>
    </row>
    <row r="108" ht="14.5" spans="1:60">
      <c r="A108" s="236">
        <v>45581</v>
      </c>
      <c r="B108" s="102">
        <v>100970.08</v>
      </c>
      <c r="C108" s="102">
        <v>1122732</v>
      </c>
      <c r="D108" s="249">
        <v>0.0549</v>
      </c>
      <c r="E108" s="102">
        <v>61643</v>
      </c>
      <c r="F108" s="250">
        <v>89.93</v>
      </c>
      <c r="G108" s="251">
        <v>1.36</v>
      </c>
      <c r="H108" s="254">
        <v>1802</v>
      </c>
      <c r="I108" s="102">
        <v>94732.46</v>
      </c>
      <c r="J108" s="254">
        <v>1767</v>
      </c>
      <c r="K108" s="102">
        <v>92116.14</v>
      </c>
      <c r="L108" s="102">
        <v>42804.58</v>
      </c>
      <c r="M108" s="251">
        <v>1.34</v>
      </c>
      <c r="N108" s="250">
        <v>1.64</v>
      </c>
      <c r="O108" s="254">
        <v>1754</v>
      </c>
      <c r="P108" s="249">
        <v>0.0285</v>
      </c>
      <c r="Q108" s="251">
        <v>57.57</v>
      </c>
      <c r="R108" s="250">
        <v>52.13</v>
      </c>
      <c r="S108" s="102">
        <v>66932</v>
      </c>
      <c r="T108" s="251">
        <v>0</v>
      </c>
      <c r="U108" s="252">
        <v>0</v>
      </c>
      <c r="V108" s="251">
        <v>0</v>
      </c>
      <c r="W108" s="253">
        <v>9782.55</v>
      </c>
      <c r="X108" s="252">
        <v>0.1062</v>
      </c>
      <c r="Y108" s="252">
        <v>0.8938</v>
      </c>
      <c r="Z108" s="251">
        <v>1.2</v>
      </c>
      <c r="AA108" s="251">
        <v>64.11</v>
      </c>
      <c r="AB108" s="251">
        <v>372</v>
      </c>
      <c r="AC108" s="242">
        <f t="shared" si="21"/>
        <v>271.424946236559</v>
      </c>
      <c r="AD108" s="242"/>
      <c r="AE108" s="205"/>
      <c r="AF108" s="243">
        <f t="shared" si="22"/>
        <v>0.0899324861142285</v>
      </c>
      <c r="AG108" s="244">
        <f t="shared" si="23"/>
        <v>1.50854718221479</v>
      </c>
      <c r="AH108" s="245">
        <f t="shared" si="24"/>
        <v>2.01578796390366</v>
      </c>
      <c r="AI108" s="246">
        <f t="shared" si="25"/>
        <v>0.0596152955469337</v>
      </c>
      <c r="AJ108" s="208">
        <f t="shared" si="26"/>
        <v>0.317257275235412</v>
      </c>
      <c r="AK108" s="208">
        <f t="shared" si="27"/>
        <v>0.026205701308791</v>
      </c>
      <c r="AL108" s="205"/>
      <c r="AM108" s="205"/>
      <c r="AN108" s="205"/>
      <c r="AO108" s="205"/>
      <c r="AP108" s="205"/>
      <c r="AQ108" s="205"/>
      <c r="AR108" s="205"/>
      <c r="AS108" s="205"/>
      <c r="AT108" s="205"/>
      <c r="AU108" s="205"/>
      <c r="AV108" s="205"/>
      <c r="AW108" s="205"/>
      <c r="AX108" s="205"/>
      <c r="AY108" s="205"/>
      <c r="AZ108" s="205"/>
      <c r="BA108" s="205"/>
      <c r="BB108" s="205"/>
      <c r="BC108" s="205"/>
      <c r="BD108" s="205"/>
      <c r="BE108" s="205"/>
      <c r="BF108" s="205"/>
      <c r="BG108" s="205"/>
      <c r="BH108" s="205"/>
    </row>
    <row r="109" s="203" customFormat="1" ht="14.5" spans="1:60">
      <c r="A109" s="255">
        <v>45582</v>
      </c>
      <c r="B109" s="256">
        <v>1071632.95</v>
      </c>
      <c r="C109" s="256">
        <v>11139532</v>
      </c>
      <c r="D109" s="257">
        <v>0.0516</v>
      </c>
      <c r="E109" s="256">
        <v>574933</v>
      </c>
      <c r="F109" s="258">
        <v>96.2</v>
      </c>
      <c r="G109" s="259">
        <v>1.28</v>
      </c>
      <c r="H109" s="260">
        <v>18952</v>
      </c>
      <c r="I109" s="256">
        <v>946139.17</v>
      </c>
      <c r="J109" s="260">
        <v>18797</v>
      </c>
      <c r="K109" s="256">
        <v>937959.25</v>
      </c>
      <c r="L109" s="256">
        <v>420798.41</v>
      </c>
      <c r="M109" s="259">
        <v>1.27</v>
      </c>
      <c r="N109" s="258">
        <v>1.86</v>
      </c>
      <c r="O109" s="260">
        <v>19653</v>
      </c>
      <c r="P109" s="257">
        <v>0.0342</v>
      </c>
      <c r="Q109" s="259">
        <v>54.53</v>
      </c>
      <c r="R109" s="258">
        <v>49.9</v>
      </c>
      <c r="S109" s="256">
        <v>622103</v>
      </c>
      <c r="T109" s="260">
        <v>1211</v>
      </c>
      <c r="U109" s="261">
        <v>0.4402</v>
      </c>
      <c r="V109" s="259">
        <v>1.13</v>
      </c>
      <c r="W109" s="262">
        <v>135085.69</v>
      </c>
      <c r="X109" s="261">
        <v>0.144</v>
      </c>
      <c r="Y109" s="261">
        <v>0.856</v>
      </c>
      <c r="Z109" s="259">
        <v>1.09</v>
      </c>
      <c r="AA109" s="259">
        <v>66.12</v>
      </c>
      <c r="AB109" s="260">
        <v>5502</v>
      </c>
      <c r="AC109" s="263">
        <f t="shared" si="21"/>
        <v>194.771528535078</v>
      </c>
      <c r="AD109" s="263"/>
      <c r="AE109" s="264"/>
      <c r="AF109" s="265">
        <f t="shared" si="22"/>
        <v>0.0962008951543027</v>
      </c>
      <c r="AG109" s="266">
        <f t="shared" si="23"/>
        <v>1.72259730301895</v>
      </c>
      <c r="AH109" s="267">
        <f t="shared" si="24"/>
        <v>2.18413616394713</v>
      </c>
      <c r="AI109" s="268">
        <f t="shared" si="25"/>
        <v>0.0558464215552323</v>
      </c>
      <c r="AJ109" s="269">
        <f t="shared" si="26"/>
        <v>0.309693496042554</v>
      </c>
      <c r="AK109" s="269">
        <f t="shared" si="27"/>
        <v>0.0315912316770696</v>
      </c>
      <c r="AL109" s="264"/>
      <c r="AM109" s="264"/>
      <c r="AN109" s="264"/>
      <c r="AO109" s="264"/>
      <c r="AP109" s="264"/>
      <c r="AQ109" s="264"/>
      <c r="AR109" s="264"/>
      <c r="AS109" s="264"/>
      <c r="AT109" s="264"/>
      <c r="AU109" s="264"/>
      <c r="AV109" s="264"/>
      <c r="AW109" s="264"/>
      <c r="AX109" s="264"/>
      <c r="AY109" s="264"/>
      <c r="AZ109" s="264"/>
      <c r="BA109" s="264"/>
      <c r="BB109" s="264"/>
      <c r="BC109" s="264"/>
      <c r="BD109" s="264"/>
      <c r="BE109" s="264"/>
      <c r="BF109" s="264"/>
      <c r="BG109" s="264"/>
      <c r="BH109" s="264"/>
    </row>
    <row r="110" ht="14.5" spans="1:60">
      <c r="A110" s="236">
        <v>45583</v>
      </c>
      <c r="B110" s="102">
        <v>254282.02</v>
      </c>
      <c r="C110" s="102">
        <v>2565245</v>
      </c>
      <c r="D110" s="249">
        <v>0.0589</v>
      </c>
      <c r="E110" s="102">
        <v>150999</v>
      </c>
      <c r="F110" s="250">
        <v>99.13</v>
      </c>
      <c r="G110" s="251">
        <v>1.26</v>
      </c>
      <c r="H110" s="254">
        <v>4224</v>
      </c>
      <c r="I110" s="102">
        <v>218206.06</v>
      </c>
      <c r="J110" s="254">
        <v>4179</v>
      </c>
      <c r="K110" s="102">
        <v>215303.68</v>
      </c>
      <c r="L110" s="102">
        <v>103082.2</v>
      </c>
      <c r="M110" s="251">
        <v>1.25</v>
      </c>
      <c r="N110" s="250">
        <v>1.68</v>
      </c>
      <c r="O110" s="254">
        <v>4185</v>
      </c>
      <c r="P110" s="249">
        <v>0.0277</v>
      </c>
      <c r="Q110" s="251">
        <v>60.76</v>
      </c>
      <c r="R110" s="250">
        <v>51.52</v>
      </c>
      <c r="S110" s="102">
        <v>176458</v>
      </c>
      <c r="T110" s="251">
        <v>68</v>
      </c>
      <c r="U110" s="252">
        <v>0.4789</v>
      </c>
      <c r="V110" s="251">
        <v>0.15</v>
      </c>
      <c r="W110" s="253">
        <v>22393.59</v>
      </c>
      <c r="X110" s="252">
        <v>0.104</v>
      </c>
      <c r="Y110" s="252">
        <v>0.896</v>
      </c>
      <c r="Z110" s="251">
        <v>1.12</v>
      </c>
      <c r="AA110" s="251">
        <v>68.36</v>
      </c>
      <c r="AB110" s="254">
        <v>1025</v>
      </c>
      <c r="AC110" s="242">
        <f t="shared" si="21"/>
        <v>248.080019512195</v>
      </c>
      <c r="AD110" s="242"/>
      <c r="AE110" s="205"/>
      <c r="AF110" s="243">
        <f t="shared" si="22"/>
        <v>0.0991258222898787</v>
      </c>
      <c r="AG110" s="244">
        <f t="shared" si="23"/>
        <v>1.44103424044248</v>
      </c>
      <c r="AH110" s="245">
        <f t="shared" si="24"/>
        <v>1.80431536116243</v>
      </c>
      <c r="AI110" s="246">
        <f t="shared" si="25"/>
        <v>0.0687879715192896</v>
      </c>
      <c r="AJ110" s="208">
        <f t="shared" si="26"/>
        <v>0.323764986060311</v>
      </c>
      <c r="AK110" s="208">
        <f t="shared" si="27"/>
        <v>0.0237166917906811</v>
      </c>
      <c r="AL110" s="205"/>
      <c r="AM110" s="205"/>
      <c r="AN110" s="205"/>
      <c r="AO110" s="205"/>
      <c r="AP110" s="205"/>
      <c r="AQ110" s="205"/>
      <c r="AR110" s="205"/>
      <c r="AS110" s="205"/>
      <c r="AT110" s="205"/>
      <c r="AU110" s="205"/>
      <c r="AV110" s="205"/>
      <c r="AW110" s="205"/>
      <c r="AX110" s="205"/>
      <c r="AY110" s="205"/>
      <c r="AZ110" s="205"/>
      <c r="BA110" s="205"/>
      <c r="BB110" s="205"/>
      <c r="BC110" s="205"/>
      <c r="BD110" s="205"/>
      <c r="BE110" s="205"/>
      <c r="BF110" s="205"/>
      <c r="BG110" s="205"/>
      <c r="BH110" s="205"/>
    </row>
    <row r="111" ht="14.5" spans="1:60">
      <c r="A111" s="236">
        <v>45584</v>
      </c>
      <c r="B111" s="102">
        <v>223893.38</v>
      </c>
      <c r="C111" s="102">
        <v>2101166</v>
      </c>
      <c r="D111" s="249">
        <v>0.0712</v>
      </c>
      <c r="E111" s="102">
        <v>149564</v>
      </c>
      <c r="F111" s="250">
        <v>106.56</v>
      </c>
      <c r="G111" s="251">
        <v>1.33</v>
      </c>
      <c r="H111" s="254">
        <v>3935</v>
      </c>
      <c r="I111" s="102">
        <v>195220.94</v>
      </c>
      <c r="J111" s="254">
        <v>3898</v>
      </c>
      <c r="K111" s="102">
        <v>192926.88</v>
      </c>
      <c r="L111" s="102">
        <v>101628.37</v>
      </c>
      <c r="M111" s="251">
        <v>1.32</v>
      </c>
      <c r="N111" s="250">
        <v>1.5</v>
      </c>
      <c r="O111" s="254">
        <v>3875</v>
      </c>
      <c r="P111" s="249">
        <v>0.0259</v>
      </c>
      <c r="Q111" s="251">
        <v>57.78</v>
      </c>
      <c r="R111" s="250">
        <v>49.49</v>
      </c>
      <c r="S111" s="102">
        <v>164472</v>
      </c>
      <c r="T111" s="251">
        <v>1</v>
      </c>
      <c r="U111" s="252">
        <v>0</v>
      </c>
      <c r="V111" s="251">
        <v>0</v>
      </c>
      <c r="W111" s="253">
        <v>20089.52</v>
      </c>
      <c r="X111" s="252">
        <v>0.1041</v>
      </c>
      <c r="Y111" s="252">
        <v>0.8959</v>
      </c>
      <c r="Z111" s="251">
        <v>1.18</v>
      </c>
      <c r="AA111" s="251">
        <v>64.37</v>
      </c>
      <c r="AB111" s="251">
        <v>791</v>
      </c>
      <c r="AC111" s="242">
        <f t="shared" si="21"/>
        <v>283.051049304678</v>
      </c>
      <c r="AD111" s="242"/>
      <c r="AE111" s="205"/>
      <c r="AF111" s="243">
        <f t="shared" si="22"/>
        <v>0.106556730881806</v>
      </c>
      <c r="AG111" s="244">
        <f t="shared" si="23"/>
        <v>1.36128568996547</v>
      </c>
      <c r="AH111" s="245">
        <f t="shared" si="24"/>
        <v>1.79091425896201</v>
      </c>
      <c r="AI111" s="246">
        <f t="shared" si="25"/>
        <v>0.0782765378842033</v>
      </c>
      <c r="AJ111" s="208">
        <f t="shared" si="26"/>
        <v>0.345023115357815</v>
      </c>
      <c r="AK111" s="208">
        <f t="shared" si="27"/>
        <v>0.0235602412568705</v>
      </c>
      <c r="AL111" s="205"/>
      <c r="AM111" s="205"/>
      <c r="AN111" s="205"/>
      <c r="AO111" s="205"/>
      <c r="AP111" s="205"/>
      <c r="AQ111" s="205"/>
      <c r="AR111" s="205"/>
      <c r="AS111" s="205"/>
      <c r="AT111" s="205"/>
      <c r="AU111" s="205"/>
      <c r="AV111" s="205"/>
      <c r="AW111" s="205"/>
      <c r="AX111" s="205"/>
      <c r="AY111" s="205"/>
      <c r="AZ111" s="205"/>
      <c r="BA111" s="205"/>
      <c r="BB111" s="205"/>
      <c r="BC111" s="205"/>
      <c r="BD111" s="205"/>
      <c r="BE111" s="205"/>
      <c r="BF111" s="205"/>
      <c r="BG111" s="205"/>
      <c r="BH111" s="205"/>
    </row>
    <row r="112" ht="14.5" spans="1:60">
      <c r="A112" s="236">
        <v>45585</v>
      </c>
      <c r="B112" s="102">
        <v>149821.55</v>
      </c>
      <c r="C112" s="102">
        <v>1517318</v>
      </c>
      <c r="D112" s="249">
        <v>0.0724</v>
      </c>
      <c r="E112" s="102">
        <v>109780</v>
      </c>
      <c r="F112" s="250">
        <v>98.74</v>
      </c>
      <c r="G112" s="251">
        <v>1.36</v>
      </c>
      <c r="H112" s="254">
        <v>2707</v>
      </c>
      <c r="I112" s="102">
        <v>135048.73</v>
      </c>
      <c r="J112" s="254">
        <v>2669</v>
      </c>
      <c r="K112" s="102">
        <v>133140.14</v>
      </c>
      <c r="L112" s="102">
        <v>69234.01</v>
      </c>
      <c r="M112" s="251">
        <v>1.35</v>
      </c>
      <c r="N112" s="250">
        <v>1.36</v>
      </c>
      <c r="O112" s="254">
        <v>2658</v>
      </c>
      <c r="P112" s="249">
        <v>0.0242</v>
      </c>
      <c r="Q112" s="251">
        <v>56.37</v>
      </c>
      <c r="R112" s="250">
        <v>49.88</v>
      </c>
      <c r="S112" s="102">
        <v>126851</v>
      </c>
      <c r="T112" s="251">
        <v>0</v>
      </c>
      <c r="U112" s="252">
        <v>0</v>
      </c>
      <c r="V112" s="251">
        <v>0</v>
      </c>
      <c r="W112" s="253">
        <v>14626.12</v>
      </c>
      <c r="X112" s="252">
        <v>0.1099</v>
      </c>
      <c r="Y112" s="252">
        <v>0.8901</v>
      </c>
      <c r="Z112" s="251">
        <v>1.2</v>
      </c>
      <c r="AA112" s="251">
        <v>63.32</v>
      </c>
      <c r="AB112" s="251">
        <v>562</v>
      </c>
      <c r="AC112" s="242">
        <f t="shared" si="21"/>
        <v>266.586387900356</v>
      </c>
      <c r="AD112" s="242"/>
      <c r="AE112" s="205"/>
      <c r="AF112" s="243">
        <f t="shared" si="22"/>
        <v>0.0987410351686331</v>
      </c>
      <c r="AG112" s="244">
        <f t="shared" si="23"/>
        <v>1.18108292406051</v>
      </c>
      <c r="AH112" s="245">
        <f t="shared" si="24"/>
        <v>1.59536897620042</v>
      </c>
      <c r="AI112" s="246">
        <f t="shared" si="25"/>
        <v>0.0836021190020813</v>
      </c>
      <c r="AJ112" s="208">
        <f t="shared" si="26"/>
        <v>0.34210896006234</v>
      </c>
      <c r="AK112" s="208">
        <f t="shared" si="27"/>
        <v>0.0209537173534304</v>
      </c>
      <c r="AL112" s="205"/>
      <c r="AM112" s="205"/>
      <c r="AN112" s="205"/>
      <c r="AO112" s="205"/>
      <c r="AP112" s="205"/>
      <c r="AQ112" s="205"/>
      <c r="AR112" s="205"/>
      <c r="AS112" s="205"/>
      <c r="AT112" s="205"/>
      <c r="AU112" s="205"/>
      <c r="AV112" s="205"/>
      <c r="AW112" s="205"/>
      <c r="AX112" s="205"/>
      <c r="AY112" s="205"/>
      <c r="AZ112" s="205"/>
      <c r="BA112" s="205"/>
      <c r="BB112" s="205"/>
      <c r="BC112" s="205"/>
      <c r="BD112" s="205"/>
      <c r="BE112" s="205"/>
      <c r="BF112" s="205"/>
      <c r="BG112" s="205"/>
      <c r="BH112" s="205"/>
    </row>
    <row r="113" ht="14.5" spans="1:60">
      <c r="A113" s="236">
        <v>45586</v>
      </c>
      <c r="B113" s="102">
        <v>169488.57</v>
      </c>
      <c r="C113" s="102">
        <v>1573400</v>
      </c>
      <c r="D113" s="249">
        <v>0.0654</v>
      </c>
      <c r="E113" s="102">
        <v>102941</v>
      </c>
      <c r="F113" s="250">
        <v>107.72</v>
      </c>
      <c r="G113" s="251">
        <v>1.3</v>
      </c>
      <c r="H113" s="254">
        <v>2903</v>
      </c>
      <c r="I113" s="102">
        <v>143814.33</v>
      </c>
      <c r="J113" s="254">
        <v>2875</v>
      </c>
      <c r="K113" s="102">
        <v>142202.19</v>
      </c>
      <c r="L113" s="102">
        <v>76931.1</v>
      </c>
      <c r="M113" s="251">
        <v>1.29</v>
      </c>
      <c r="N113" s="250">
        <v>1.65</v>
      </c>
      <c r="O113" s="254">
        <v>2860</v>
      </c>
      <c r="P113" s="249">
        <v>0.0278</v>
      </c>
      <c r="Q113" s="251">
        <v>59.26</v>
      </c>
      <c r="R113" s="250">
        <v>49.46</v>
      </c>
      <c r="S113" s="102">
        <v>111990</v>
      </c>
      <c r="T113" s="251">
        <v>0</v>
      </c>
      <c r="U113" s="252">
        <v>0</v>
      </c>
      <c r="V113" s="251">
        <v>0</v>
      </c>
      <c r="W113" s="253">
        <v>16273.86</v>
      </c>
      <c r="X113" s="252">
        <v>0.1144</v>
      </c>
      <c r="Y113" s="252">
        <v>0.8856</v>
      </c>
      <c r="Z113" s="251">
        <v>1.15</v>
      </c>
      <c r="AA113" s="251">
        <v>66.34</v>
      </c>
      <c r="AB113" s="251">
        <v>530</v>
      </c>
      <c r="AC113" s="242">
        <f t="shared" si="21"/>
        <v>319.789754716981</v>
      </c>
      <c r="AD113" s="242"/>
      <c r="AE113" s="205"/>
      <c r="AF113" s="243">
        <f t="shared" si="22"/>
        <v>0.107721221558409</v>
      </c>
      <c r="AG113" s="244">
        <f t="shared" si="23"/>
        <v>1.51342593088669</v>
      </c>
      <c r="AH113" s="245">
        <f t="shared" si="24"/>
        <v>1.95672193945888</v>
      </c>
      <c r="AI113" s="246">
        <f t="shared" si="25"/>
        <v>0.0711770687682725</v>
      </c>
      <c r="AJ113" s="208">
        <f t="shared" si="26"/>
        <v>0.351069889928637</v>
      </c>
      <c r="AK113" s="208">
        <f t="shared" si="27"/>
        <v>0.0255379944637914</v>
      </c>
      <c r="AL113" s="205"/>
      <c r="AM113" s="205"/>
      <c r="AN113" s="205"/>
      <c r="AO113" s="205"/>
      <c r="AP113" s="205"/>
      <c r="AQ113" s="205"/>
      <c r="AR113" s="205"/>
      <c r="AS113" s="205"/>
      <c r="AT113" s="205"/>
      <c r="AU113" s="205"/>
      <c r="AV113" s="205"/>
      <c r="AW113" s="205"/>
      <c r="AX113" s="205"/>
      <c r="AY113" s="205"/>
      <c r="AZ113" s="205"/>
      <c r="BA113" s="205"/>
      <c r="BB113" s="205"/>
      <c r="BC113" s="205"/>
      <c r="BD113" s="205"/>
      <c r="BE113" s="205"/>
      <c r="BF113" s="205"/>
      <c r="BG113" s="205"/>
      <c r="BH113" s="205"/>
    </row>
    <row r="114" ht="14.5" spans="1:60">
      <c r="A114" s="236">
        <v>45587</v>
      </c>
      <c r="B114" s="102">
        <v>101051.16</v>
      </c>
      <c r="C114" s="102">
        <v>1076748</v>
      </c>
      <c r="D114" s="249">
        <v>0.056</v>
      </c>
      <c r="E114" s="102">
        <v>60271</v>
      </c>
      <c r="F114" s="250">
        <v>93.85</v>
      </c>
      <c r="G114" s="251">
        <v>1.38</v>
      </c>
      <c r="H114" s="254">
        <v>1799</v>
      </c>
      <c r="I114" s="102">
        <v>92261.75</v>
      </c>
      <c r="J114" s="254">
        <v>1771</v>
      </c>
      <c r="K114" s="102">
        <v>90463.06</v>
      </c>
      <c r="L114" s="102">
        <v>47113.51</v>
      </c>
      <c r="M114" s="251">
        <v>1.36</v>
      </c>
      <c r="N114" s="250">
        <v>1.68</v>
      </c>
      <c r="O114" s="254">
        <v>1758</v>
      </c>
      <c r="P114" s="249">
        <v>0.0292</v>
      </c>
      <c r="Q114" s="251">
        <v>57.48</v>
      </c>
      <c r="R114" s="250">
        <v>51.08</v>
      </c>
      <c r="S114" s="102">
        <v>65603</v>
      </c>
      <c r="T114" s="251">
        <v>0</v>
      </c>
      <c r="U114" s="252">
        <v>0</v>
      </c>
      <c r="V114" s="251">
        <v>0</v>
      </c>
      <c r="W114" s="253">
        <v>11303.78</v>
      </c>
      <c r="X114" s="252">
        <v>0.125</v>
      </c>
      <c r="Y114" s="252">
        <v>0.875</v>
      </c>
      <c r="Z114" s="251">
        <v>1.19</v>
      </c>
      <c r="AA114" s="251">
        <v>65.83</v>
      </c>
      <c r="AB114" s="251">
        <v>436</v>
      </c>
      <c r="AC114" s="242">
        <f t="shared" si="21"/>
        <v>231.76871559633</v>
      </c>
      <c r="AD114" s="242"/>
      <c r="AE114" s="205"/>
      <c r="AF114" s="243">
        <f t="shared" si="22"/>
        <v>0.0938484770809883</v>
      </c>
      <c r="AG114" s="244">
        <f t="shared" si="23"/>
        <v>1.54034358184839</v>
      </c>
      <c r="AH114" s="245">
        <f t="shared" si="24"/>
        <v>2.09710790665061</v>
      </c>
      <c r="AI114" s="246">
        <f t="shared" si="25"/>
        <v>0.0609269764141656</v>
      </c>
      <c r="AJ114" s="208">
        <f t="shared" si="26"/>
        <v>0.342453006351299</v>
      </c>
      <c r="AK114" s="208">
        <f t="shared" si="27"/>
        <v>0.0267975549898633</v>
      </c>
      <c r="AL114" s="205"/>
      <c r="AM114" s="205"/>
      <c r="AN114" s="205"/>
      <c r="AO114" s="205"/>
      <c r="AP114" s="205"/>
      <c r="AQ114" s="205"/>
      <c r="AR114" s="205"/>
      <c r="AS114" s="205"/>
      <c r="AT114" s="205"/>
      <c r="AU114" s="205"/>
      <c r="AV114" s="205"/>
      <c r="AW114" s="205"/>
      <c r="AX114" s="205"/>
      <c r="AY114" s="205"/>
      <c r="AZ114" s="205"/>
      <c r="BA114" s="205"/>
      <c r="BB114" s="205"/>
      <c r="BC114" s="205"/>
      <c r="BD114" s="205"/>
      <c r="BE114" s="205"/>
      <c r="BF114" s="205"/>
      <c r="BG114" s="205"/>
      <c r="BH114" s="205"/>
    </row>
    <row r="115" ht="14.5" spans="1:60">
      <c r="A115" s="236">
        <v>45588</v>
      </c>
      <c r="B115" s="102">
        <v>80995.07</v>
      </c>
      <c r="C115" s="102">
        <v>923735</v>
      </c>
      <c r="D115" s="249">
        <v>0.0519</v>
      </c>
      <c r="E115" s="102">
        <v>47943</v>
      </c>
      <c r="F115" s="250">
        <v>87.68</v>
      </c>
      <c r="G115" s="251">
        <v>1.41</v>
      </c>
      <c r="H115" s="254">
        <v>1478</v>
      </c>
      <c r="I115" s="102">
        <v>77507</v>
      </c>
      <c r="J115" s="254">
        <v>1456</v>
      </c>
      <c r="K115" s="102">
        <v>75989.74</v>
      </c>
      <c r="L115" s="102">
        <v>36837.12</v>
      </c>
      <c r="M115" s="251">
        <v>1.39</v>
      </c>
      <c r="N115" s="250">
        <v>1.69</v>
      </c>
      <c r="O115" s="254">
        <v>1456</v>
      </c>
      <c r="P115" s="249">
        <v>0.0304</v>
      </c>
      <c r="Q115" s="251">
        <v>55.63</v>
      </c>
      <c r="R115" s="250">
        <v>52.19</v>
      </c>
      <c r="S115" s="102">
        <v>51437</v>
      </c>
      <c r="T115" s="251">
        <v>0</v>
      </c>
      <c r="U115" s="252">
        <v>0</v>
      </c>
      <c r="V115" s="251">
        <v>0</v>
      </c>
      <c r="W115" s="253">
        <v>7598.88</v>
      </c>
      <c r="X115" s="252">
        <v>0.1</v>
      </c>
      <c r="Y115" s="252">
        <v>0.9</v>
      </c>
      <c r="Z115" s="251">
        <v>1.25</v>
      </c>
      <c r="AA115" s="251">
        <v>62.21</v>
      </c>
      <c r="AB115" s="251">
        <v>315</v>
      </c>
      <c r="AC115" s="242">
        <f t="shared" si="21"/>
        <v>257.127206349206</v>
      </c>
      <c r="AD115" s="242"/>
      <c r="AE115" s="205"/>
      <c r="AF115" s="243">
        <f t="shared" si="22"/>
        <v>0.0876821491012033</v>
      </c>
      <c r="AG115" s="244">
        <f t="shared" si="23"/>
        <v>1.57464607189377</v>
      </c>
      <c r="AH115" s="245">
        <f t="shared" si="24"/>
        <v>2.19349612146898</v>
      </c>
      <c r="AI115" s="246">
        <f t="shared" si="25"/>
        <v>0.0556837188154611</v>
      </c>
      <c r="AJ115" s="208">
        <f t="shared" si="26"/>
        <v>0.326492468194187</v>
      </c>
      <c r="AK115" s="208">
        <f t="shared" si="27"/>
        <v>0.0283064719948675</v>
      </c>
      <c r="AL115" s="205"/>
      <c r="AM115" s="205"/>
      <c r="AN115" s="205"/>
      <c r="AO115" s="205"/>
      <c r="AP115" s="205"/>
      <c r="AQ115" s="205"/>
      <c r="AR115" s="205"/>
      <c r="AS115" s="205"/>
      <c r="AT115" s="205"/>
      <c r="AU115" s="205"/>
      <c r="AV115" s="205"/>
      <c r="AW115" s="205"/>
      <c r="AX115" s="205"/>
      <c r="AY115" s="205"/>
      <c r="AZ115" s="205"/>
      <c r="BA115" s="205"/>
      <c r="BB115" s="205"/>
      <c r="BC115" s="205"/>
      <c r="BD115" s="205"/>
      <c r="BE115" s="205"/>
      <c r="BF115" s="205"/>
      <c r="BG115" s="205"/>
      <c r="BH115" s="205"/>
    </row>
    <row r="116" ht="14.5" spans="1:60">
      <c r="A116" s="236">
        <v>45589</v>
      </c>
      <c r="B116" s="102">
        <v>43089.67</v>
      </c>
      <c r="C116" s="102">
        <v>458153</v>
      </c>
      <c r="D116" s="249">
        <v>0.0598</v>
      </c>
      <c r="E116" s="102">
        <v>27377</v>
      </c>
      <c r="F116" s="250">
        <v>94.05</v>
      </c>
      <c r="G116" s="251">
        <v>1.2</v>
      </c>
      <c r="H116" s="251">
        <v>695</v>
      </c>
      <c r="I116" s="102">
        <v>37333.26</v>
      </c>
      <c r="J116" s="251">
        <v>673</v>
      </c>
      <c r="K116" s="102">
        <v>36153.79</v>
      </c>
      <c r="L116" s="102">
        <v>14322.69</v>
      </c>
      <c r="M116" s="251">
        <v>1.17</v>
      </c>
      <c r="N116" s="250">
        <v>1.57</v>
      </c>
      <c r="O116" s="251">
        <v>665</v>
      </c>
      <c r="P116" s="249">
        <v>0.0243</v>
      </c>
      <c r="Q116" s="251">
        <v>64.8</v>
      </c>
      <c r="R116" s="250">
        <v>53.72</v>
      </c>
      <c r="S116" s="102">
        <v>29431</v>
      </c>
      <c r="T116" s="251">
        <v>0</v>
      </c>
      <c r="U116" s="252">
        <v>0</v>
      </c>
      <c r="V116" s="251">
        <v>0</v>
      </c>
      <c r="W116" s="253">
        <v>4966.14</v>
      </c>
      <c r="X116" s="252">
        <v>0.1374</v>
      </c>
      <c r="Y116" s="252">
        <v>0.8626</v>
      </c>
      <c r="Z116" s="251">
        <v>1.02</v>
      </c>
      <c r="AA116" s="251">
        <v>73.03</v>
      </c>
      <c r="AB116" s="251">
        <v>200</v>
      </c>
      <c r="AC116" s="242">
        <f t="shared" si="21"/>
        <v>215.44835</v>
      </c>
      <c r="AD116" s="242"/>
      <c r="AE116" s="205"/>
      <c r="AF116" s="243">
        <f t="shared" si="22"/>
        <v>0.094050830181184</v>
      </c>
      <c r="AG116" s="244">
        <f t="shared" si="23"/>
        <v>1.46409126431314</v>
      </c>
      <c r="AH116" s="245">
        <f t="shared" si="24"/>
        <v>1.7150786585573</v>
      </c>
      <c r="AI116" s="246">
        <f t="shared" si="25"/>
        <v>0.064238365786102</v>
      </c>
      <c r="AJ116" s="208">
        <f t="shared" si="26"/>
        <v>0.28374977811448</v>
      </c>
      <c r="AK116" s="208">
        <f t="shared" si="27"/>
        <v>0.0225952227243383</v>
      </c>
      <c r="AL116" s="205"/>
      <c r="AM116" s="205"/>
      <c r="AN116" s="205"/>
      <c r="AO116" s="205"/>
      <c r="AP116" s="205"/>
      <c r="AQ116" s="205"/>
      <c r="AR116" s="205"/>
      <c r="AS116" s="205"/>
      <c r="AT116" s="205"/>
      <c r="AU116" s="205"/>
      <c r="AV116" s="205"/>
      <c r="AW116" s="205"/>
      <c r="AX116" s="205"/>
      <c r="AY116" s="205"/>
      <c r="AZ116" s="205"/>
      <c r="BA116" s="205"/>
      <c r="BB116" s="205"/>
      <c r="BC116" s="205"/>
      <c r="BD116" s="205"/>
      <c r="BE116" s="205"/>
      <c r="BF116" s="205"/>
      <c r="BG116" s="205"/>
      <c r="BH116" s="205"/>
    </row>
    <row r="117" ht="14.5" spans="1:60">
      <c r="A117" s="236">
        <v>45590</v>
      </c>
      <c r="B117" s="102">
        <v>23628.24</v>
      </c>
      <c r="C117" s="102">
        <v>291121</v>
      </c>
      <c r="D117" s="249">
        <v>0.0413</v>
      </c>
      <c r="E117" s="102">
        <v>12012</v>
      </c>
      <c r="F117" s="250">
        <v>81.16</v>
      </c>
      <c r="G117" s="251">
        <v>1.14</v>
      </c>
      <c r="H117" s="251">
        <v>423</v>
      </c>
      <c r="I117" s="102">
        <v>27043.75</v>
      </c>
      <c r="J117" s="251">
        <v>415</v>
      </c>
      <c r="K117" s="102">
        <v>26642.85</v>
      </c>
      <c r="L117" s="102">
        <v>0</v>
      </c>
      <c r="M117" s="251">
        <v>1.13</v>
      </c>
      <c r="N117" s="250">
        <v>1.97</v>
      </c>
      <c r="O117" s="251">
        <v>413</v>
      </c>
      <c r="P117" s="249">
        <v>0.0344</v>
      </c>
      <c r="Q117" s="251">
        <v>57.21</v>
      </c>
      <c r="R117" s="250">
        <v>64.2</v>
      </c>
      <c r="S117" s="102">
        <v>14352</v>
      </c>
      <c r="T117" s="251">
        <v>0</v>
      </c>
      <c r="U117" s="252">
        <v>0</v>
      </c>
      <c r="V117" s="251">
        <v>0</v>
      </c>
      <c r="W117" s="253">
        <v>2568.76</v>
      </c>
      <c r="X117" s="252">
        <v>0.0964</v>
      </c>
      <c r="Y117" s="252">
        <v>0.9036</v>
      </c>
      <c r="Z117" s="251">
        <v>1.02</v>
      </c>
      <c r="AA117" s="251">
        <v>62.84</v>
      </c>
      <c r="AB117" s="251">
        <v>130</v>
      </c>
      <c r="AC117" s="242">
        <f t="shared" si="21"/>
        <v>181.755692307692</v>
      </c>
      <c r="AD117" s="242"/>
      <c r="AE117" s="205"/>
      <c r="AF117" s="243">
        <f t="shared" si="22"/>
        <v>0.0811629528615249</v>
      </c>
      <c r="AG117" s="244">
        <f t="shared" si="23"/>
        <v>1.64633779264214</v>
      </c>
      <c r="AH117" s="245">
        <f t="shared" si="24"/>
        <v>1.85638586956522</v>
      </c>
      <c r="AI117" s="246">
        <f t="shared" si="25"/>
        <v>0.0492990886950787</v>
      </c>
      <c r="AJ117" s="208">
        <f t="shared" si="26"/>
        <v>0</v>
      </c>
      <c r="AK117" s="208">
        <f t="shared" si="27"/>
        <v>0.0287764771460424</v>
      </c>
      <c r="AL117" s="205"/>
      <c r="AM117" s="205"/>
      <c r="AN117" s="205"/>
      <c r="AO117" s="205"/>
      <c r="AP117" s="205"/>
      <c r="AQ117" s="205"/>
      <c r="AR117" s="205"/>
      <c r="AS117" s="205"/>
      <c r="AT117" s="205"/>
      <c r="AU117" s="205"/>
      <c r="AV117" s="205"/>
      <c r="AW117" s="205"/>
      <c r="AX117" s="205"/>
      <c r="AY117" s="205"/>
      <c r="AZ117" s="205"/>
      <c r="BA117" s="205"/>
      <c r="BB117" s="205"/>
      <c r="BC117" s="205"/>
      <c r="BD117" s="205"/>
      <c r="BE117" s="205"/>
      <c r="BF117" s="205"/>
      <c r="BG117" s="205"/>
      <c r="BH117" s="205"/>
    </row>
    <row r="118" ht="14.5" spans="1:60">
      <c r="A118" s="236">
        <v>45591</v>
      </c>
      <c r="B118" s="102">
        <v>13823.87</v>
      </c>
      <c r="C118" s="102">
        <v>149364</v>
      </c>
      <c r="D118" s="249">
        <v>0.0531</v>
      </c>
      <c r="E118" s="102">
        <v>7933</v>
      </c>
      <c r="F118" s="250">
        <v>92.55</v>
      </c>
      <c r="G118" s="251">
        <v>1.12</v>
      </c>
      <c r="H118" s="251">
        <v>231</v>
      </c>
      <c r="I118" s="102">
        <v>15448.87</v>
      </c>
      <c r="J118" s="251">
        <v>213</v>
      </c>
      <c r="K118" s="102">
        <v>14541.65</v>
      </c>
      <c r="L118" s="102">
        <v>0</v>
      </c>
      <c r="M118" s="251">
        <v>1.05</v>
      </c>
      <c r="N118" s="250">
        <v>1.74</v>
      </c>
      <c r="O118" s="251">
        <v>212</v>
      </c>
      <c r="P118" s="249">
        <v>0.0267</v>
      </c>
      <c r="Q118" s="251">
        <v>65.21</v>
      </c>
      <c r="R118" s="250">
        <v>68.27</v>
      </c>
      <c r="S118" s="102">
        <v>10402</v>
      </c>
      <c r="T118" s="251">
        <v>0</v>
      </c>
      <c r="U118" s="252">
        <v>0</v>
      </c>
      <c r="V118" s="251">
        <v>0</v>
      </c>
      <c r="W118" s="253">
        <v>1675.48</v>
      </c>
      <c r="X118" s="252">
        <v>0.1152</v>
      </c>
      <c r="Y118" s="252">
        <v>0.8848</v>
      </c>
      <c r="Z118" s="251">
        <v>0.93</v>
      </c>
      <c r="AA118" s="251">
        <v>73.53</v>
      </c>
      <c r="AB118" s="251">
        <v>102</v>
      </c>
      <c r="AC118" s="242">
        <f t="shared" si="21"/>
        <v>135.528137254902</v>
      </c>
      <c r="AD118" s="242"/>
      <c r="AE118" s="205"/>
      <c r="AF118" s="243">
        <f t="shared" si="22"/>
        <v>0.0925515519134464</v>
      </c>
      <c r="AG118" s="244">
        <f t="shared" si="23"/>
        <v>1.32896269948087</v>
      </c>
      <c r="AH118" s="245">
        <f t="shared" si="24"/>
        <v>1.39796673716593</v>
      </c>
      <c r="AI118" s="246">
        <f t="shared" si="25"/>
        <v>0.0696419485284272</v>
      </c>
      <c r="AJ118" s="208">
        <f t="shared" si="26"/>
        <v>0</v>
      </c>
      <c r="AK118" s="208">
        <f t="shared" si="27"/>
        <v>0.0203806960199962</v>
      </c>
      <c r="AL118" s="205"/>
      <c r="AM118" s="205"/>
      <c r="AN118" s="205"/>
      <c r="AO118" s="205"/>
      <c r="AP118" s="205"/>
      <c r="AQ118" s="205"/>
      <c r="AR118" s="205"/>
      <c r="AS118" s="205"/>
      <c r="AT118" s="205"/>
      <c r="AU118" s="205"/>
      <c r="AV118" s="205"/>
      <c r="AW118" s="205"/>
      <c r="AX118" s="205"/>
      <c r="AY118" s="205"/>
      <c r="AZ118" s="205"/>
      <c r="BA118" s="205"/>
      <c r="BB118" s="205"/>
      <c r="BC118" s="205"/>
      <c r="BD118" s="205"/>
      <c r="BE118" s="205"/>
      <c r="BF118" s="205"/>
      <c r="BG118" s="205"/>
      <c r="BH118" s="205"/>
    </row>
    <row r="119" ht="14.5" spans="1:60">
      <c r="A119" s="236">
        <v>45592</v>
      </c>
      <c r="B119" s="102">
        <v>23526.74</v>
      </c>
      <c r="C119" s="102">
        <v>261219</v>
      </c>
      <c r="D119" s="249">
        <v>0.051</v>
      </c>
      <c r="E119" s="102">
        <v>13322</v>
      </c>
      <c r="F119" s="250">
        <v>90.07</v>
      </c>
      <c r="G119" s="251">
        <v>1.22</v>
      </c>
      <c r="H119" s="251">
        <v>424</v>
      </c>
      <c r="I119" s="102">
        <v>28595.11</v>
      </c>
      <c r="J119" s="251">
        <v>399</v>
      </c>
      <c r="K119" s="102">
        <v>27487.24</v>
      </c>
      <c r="L119" s="102">
        <v>0</v>
      </c>
      <c r="M119" s="251">
        <v>1.17</v>
      </c>
      <c r="N119" s="250">
        <v>1.77</v>
      </c>
      <c r="O119" s="251">
        <v>393</v>
      </c>
      <c r="P119" s="249">
        <v>0.0295</v>
      </c>
      <c r="Q119" s="251">
        <v>59.86</v>
      </c>
      <c r="R119" s="250">
        <v>68.89</v>
      </c>
      <c r="S119" s="102">
        <v>17803</v>
      </c>
      <c r="T119" s="251">
        <v>0</v>
      </c>
      <c r="U119" s="252">
        <v>0</v>
      </c>
      <c r="V119" s="251">
        <v>0</v>
      </c>
      <c r="W119" s="253">
        <v>3402.48</v>
      </c>
      <c r="X119" s="252">
        <v>0.1238</v>
      </c>
      <c r="Y119" s="252">
        <v>0.8762</v>
      </c>
      <c r="Z119" s="251">
        <v>1.02</v>
      </c>
      <c r="AA119" s="251">
        <v>66.84</v>
      </c>
      <c r="AB119" s="251">
        <v>123</v>
      </c>
      <c r="AC119" s="242">
        <f t="shared" si="21"/>
        <v>191.274308943089</v>
      </c>
      <c r="AD119" s="242"/>
      <c r="AE119" s="205"/>
      <c r="AF119" s="243">
        <f t="shared" si="22"/>
        <v>0.0900651943388498</v>
      </c>
      <c r="AG119" s="244">
        <f t="shared" si="23"/>
        <v>1.32150424085828</v>
      </c>
      <c r="AH119" s="245">
        <f t="shared" si="24"/>
        <v>1.54396674717744</v>
      </c>
      <c r="AI119" s="246">
        <f t="shared" si="25"/>
        <v>0.068153541664274</v>
      </c>
      <c r="AJ119" s="208">
        <f t="shared" si="26"/>
        <v>0</v>
      </c>
      <c r="AK119" s="208">
        <f t="shared" si="27"/>
        <v>0.0220749311913722</v>
      </c>
      <c r="AL119" s="205"/>
      <c r="AM119" s="205"/>
      <c r="AN119" s="205"/>
      <c r="AO119" s="205"/>
      <c r="AP119" s="205"/>
      <c r="AQ119" s="205"/>
      <c r="AR119" s="205"/>
      <c r="AS119" s="205"/>
      <c r="AT119" s="205"/>
      <c r="AU119" s="205"/>
      <c r="AV119" s="205"/>
      <c r="AW119" s="205"/>
      <c r="AX119" s="205"/>
      <c r="AY119" s="205"/>
      <c r="AZ119" s="205"/>
      <c r="BA119" s="205"/>
      <c r="BB119" s="205"/>
      <c r="BC119" s="205"/>
      <c r="BD119" s="205"/>
      <c r="BE119" s="205"/>
      <c r="BF119" s="205"/>
      <c r="BG119" s="205"/>
      <c r="BH119" s="205"/>
    </row>
    <row r="120" ht="14.5" spans="1:60">
      <c r="A120" s="236">
        <v>45593</v>
      </c>
      <c r="B120" s="102">
        <v>49778.92</v>
      </c>
      <c r="C120" s="102">
        <v>561501</v>
      </c>
      <c r="D120" s="249">
        <v>0.0487</v>
      </c>
      <c r="E120" s="102">
        <v>27371</v>
      </c>
      <c r="F120" s="250">
        <v>88.65</v>
      </c>
      <c r="G120" s="251">
        <v>1.42</v>
      </c>
      <c r="H120" s="251">
        <v>996</v>
      </c>
      <c r="I120" s="102">
        <v>58095.87</v>
      </c>
      <c r="J120" s="251">
        <v>967</v>
      </c>
      <c r="K120" s="102">
        <v>56552.64</v>
      </c>
      <c r="L120" s="102">
        <v>12427.99</v>
      </c>
      <c r="M120" s="251">
        <v>1.39</v>
      </c>
      <c r="N120" s="250">
        <v>1.82</v>
      </c>
      <c r="O120" s="251">
        <v>963</v>
      </c>
      <c r="P120" s="249">
        <v>0.0352</v>
      </c>
      <c r="Q120" s="251">
        <v>51.69</v>
      </c>
      <c r="R120" s="250">
        <v>58.48</v>
      </c>
      <c r="S120" s="102">
        <v>32552</v>
      </c>
      <c r="T120" s="251">
        <v>0</v>
      </c>
      <c r="U120" s="252">
        <v>0</v>
      </c>
      <c r="V120" s="251">
        <v>0</v>
      </c>
      <c r="W120" s="253">
        <v>4790.01</v>
      </c>
      <c r="X120" s="252">
        <v>0.0847</v>
      </c>
      <c r="Y120" s="252">
        <v>0.9153</v>
      </c>
      <c r="Z120" s="251">
        <v>1.27</v>
      </c>
      <c r="AA120" s="251">
        <v>56.12</v>
      </c>
      <c r="AB120" s="251">
        <v>239</v>
      </c>
      <c r="AC120" s="242">
        <f t="shared" si="21"/>
        <v>208.28</v>
      </c>
      <c r="AD120" s="242"/>
      <c r="AE120" s="205"/>
      <c r="AF120" s="243">
        <f t="shared" si="22"/>
        <v>0.0886533060493214</v>
      </c>
      <c r="AG120" s="244">
        <f t="shared" si="23"/>
        <v>1.52921233718358</v>
      </c>
      <c r="AH120" s="245">
        <f t="shared" si="24"/>
        <v>2.11909037847137</v>
      </c>
      <c r="AI120" s="246">
        <f t="shared" si="25"/>
        <v>0.0579731825945101</v>
      </c>
      <c r="AJ120" s="208">
        <f t="shared" si="26"/>
        <v>0.180166374241581</v>
      </c>
      <c r="AK120" s="208">
        <f t="shared" si="27"/>
        <v>0.0295834357335955</v>
      </c>
      <c r="AL120" s="205"/>
      <c r="AM120" s="205"/>
      <c r="AN120" s="205"/>
      <c r="AO120" s="205"/>
      <c r="AP120" s="205"/>
      <c r="AQ120" s="205"/>
      <c r="AR120" s="205"/>
      <c r="AS120" s="205"/>
      <c r="AT120" s="205"/>
      <c r="AU120" s="205"/>
      <c r="AV120" s="205"/>
      <c r="AW120" s="205"/>
      <c r="AX120" s="205"/>
      <c r="AY120" s="205"/>
      <c r="AZ120" s="205"/>
      <c r="BA120" s="205"/>
      <c r="BB120" s="205"/>
      <c r="BC120" s="205"/>
      <c r="BD120" s="205"/>
      <c r="BE120" s="205"/>
      <c r="BF120" s="205"/>
      <c r="BG120" s="205"/>
      <c r="BH120" s="205"/>
    </row>
    <row r="121" ht="14.5" spans="1:60">
      <c r="A121" s="236">
        <v>45594</v>
      </c>
      <c r="B121" s="102">
        <v>70658.48</v>
      </c>
      <c r="C121" s="102">
        <v>696490</v>
      </c>
      <c r="D121" s="249">
        <v>0.0728</v>
      </c>
      <c r="E121" s="102">
        <v>50718</v>
      </c>
      <c r="F121" s="250">
        <v>101.45</v>
      </c>
      <c r="G121" s="251">
        <v>1.45</v>
      </c>
      <c r="H121" s="254">
        <v>1424</v>
      </c>
      <c r="I121" s="102">
        <v>73095.32</v>
      </c>
      <c r="J121" s="254">
        <v>1401</v>
      </c>
      <c r="K121" s="102">
        <v>72043.42</v>
      </c>
      <c r="L121" s="102">
        <v>29667.09</v>
      </c>
      <c r="M121" s="251">
        <v>1.44</v>
      </c>
      <c r="N121" s="251">
        <v>1.39</v>
      </c>
      <c r="O121" s="254">
        <v>1397</v>
      </c>
      <c r="P121" s="249">
        <v>0.0275</v>
      </c>
      <c r="Q121" s="251">
        <v>50.58</v>
      </c>
      <c r="R121" s="250">
        <v>51.42</v>
      </c>
      <c r="S121" s="102">
        <v>54517</v>
      </c>
      <c r="T121" s="251">
        <v>0</v>
      </c>
      <c r="U121" s="252">
        <v>0</v>
      </c>
      <c r="V121" s="251">
        <v>0</v>
      </c>
      <c r="W121" s="253">
        <v>7498.79</v>
      </c>
      <c r="X121" s="252">
        <v>0.1041</v>
      </c>
      <c r="Y121" s="252">
        <v>0.8959</v>
      </c>
      <c r="Z121" s="251">
        <v>1.29</v>
      </c>
      <c r="AA121" s="251">
        <v>56.75</v>
      </c>
      <c r="AB121" s="251">
        <v>371</v>
      </c>
      <c r="AC121" s="242">
        <f t="shared" ref="AC121:AC142" si="28">B121/AB121</f>
        <v>190.454123989218</v>
      </c>
      <c r="AF121" s="243">
        <f t="shared" ref="AF121:AF142" si="29">B121/C121</f>
        <v>0.101449381900673</v>
      </c>
      <c r="AG121" s="244">
        <f t="shared" ref="AG121:AG142" si="30">B121/S121</f>
        <v>1.29608158922905</v>
      </c>
      <c r="AH121" s="245">
        <f t="shared" ref="AH121:AH142" si="31">(K121+L121)/S121</f>
        <v>1.86566593906488</v>
      </c>
      <c r="AI121" s="246">
        <f t="shared" ref="AI121:AI142" si="32">S121/C121</f>
        <v>0.0782739163519936</v>
      </c>
      <c r="AJ121" s="208">
        <f t="shared" ref="AJ121:AJ142" si="33">L121/(K121+L121)</f>
        <v>0.291681656104173</v>
      </c>
      <c r="AK121" s="208">
        <f t="shared" ref="AK121:AK142" si="34">O121/S121</f>
        <v>0.0256250343929417</v>
      </c>
    </row>
    <row r="122" ht="14.5" spans="1:60">
      <c r="A122" s="236">
        <v>45595</v>
      </c>
      <c r="B122" s="102">
        <v>87699.31</v>
      </c>
      <c r="C122" s="102">
        <v>941690</v>
      </c>
      <c r="D122" s="249">
        <v>0.0567</v>
      </c>
      <c r="E122" s="102">
        <v>53387</v>
      </c>
      <c r="F122" s="250">
        <v>93.13</v>
      </c>
      <c r="G122" s="251">
        <v>1.4</v>
      </c>
      <c r="H122" s="254">
        <v>1636</v>
      </c>
      <c r="I122" s="102">
        <v>88365.82</v>
      </c>
      <c r="J122" s="254">
        <v>1599</v>
      </c>
      <c r="K122" s="102">
        <v>86474.41</v>
      </c>
      <c r="L122" s="102">
        <v>34519.88</v>
      </c>
      <c r="M122" s="251">
        <v>1.38</v>
      </c>
      <c r="N122" s="251">
        <v>1.64</v>
      </c>
      <c r="O122" s="254">
        <v>1587</v>
      </c>
      <c r="P122" s="249">
        <v>0.0297</v>
      </c>
      <c r="Q122" s="251">
        <v>55.26</v>
      </c>
      <c r="R122" s="250">
        <v>54.08</v>
      </c>
      <c r="S122" s="102">
        <v>58556</v>
      </c>
      <c r="T122" s="251">
        <v>0</v>
      </c>
      <c r="U122" s="252">
        <v>0</v>
      </c>
      <c r="V122" s="251">
        <v>0</v>
      </c>
      <c r="W122" s="253">
        <v>9830.74</v>
      </c>
      <c r="X122" s="252">
        <v>0.1137</v>
      </c>
      <c r="Y122" s="252">
        <v>0.8863</v>
      </c>
      <c r="Z122" s="251">
        <v>1.22</v>
      </c>
      <c r="AA122" s="251">
        <v>62.38</v>
      </c>
      <c r="AB122" s="251">
        <v>410</v>
      </c>
      <c r="AC122" s="242">
        <f t="shared" si="28"/>
        <v>213.900756097561</v>
      </c>
      <c r="AF122" s="243">
        <f t="shared" si="29"/>
        <v>0.0931297029808111</v>
      </c>
      <c r="AG122" s="244">
        <f t="shared" si="30"/>
        <v>1.4976998087301</v>
      </c>
      <c r="AH122" s="245">
        <f t="shared" si="31"/>
        <v>2.0663004645126</v>
      </c>
      <c r="AI122" s="246">
        <f t="shared" si="32"/>
        <v>0.0621818220433476</v>
      </c>
      <c r="AJ122" s="208">
        <f t="shared" si="33"/>
        <v>0.285301727874927</v>
      </c>
      <c r="AK122" s="208">
        <f t="shared" si="34"/>
        <v>0.0271022610834073</v>
      </c>
    </row>
    <row r="123" ht="14.5" spans="1:60">
      <c r="A123" s="236">
        <v>45596</v>
      </c>
      <c r="B123" s="102">
        <v>96404.74</v>
      </c>
      <c r="C123" s="102">
        <v>863368</v>
      </c>
      <c r="D123" s="249">
        <v>0.0785</v>
      </c>
      <c r="E123" s="102">
        <v>67786</v>
      </c>
      <c r="F123" s="250">
        <v>111.66</v>
      </c>
      <c r="G123" s="251">
        <v>1.37</v>
      </c>
      <c r="H123" s="254">
        <v>1828</v>
      </c>
      <c r="I123" s="102">
        <v>89870.21</v>
      </c>
      <c r="J123" s="254">
        <v>1796</v>
      </c>
      <c r="K123" s="102">
        <v>88296.68</v>
      </c>
      <c r="L123" s="102">
        <v>41799.99</v>
      </c>
      <c r="M123" s="251">
        <v>1.35</v>
      </c>
      <c r="N123" s="251">
        <v>1.42</v>
      </c>
      <c r="O123" s="254">
        <v>1792</v>
      </c>
      <c r="P123" s="249">
        <v>0.0264</v>
      </c>
      <c r="Q123" s="251">
        <v>53.8</v>
      </c>
      <c r="R123" s="250">
        <v>49.16</v>
      </c>
      <c r="S123" s="102">
        <v>72483</v>
      </c>
      <c r="T123" s="251">
        <v>0</v>
      </c>
      <c r="U123" s="252">
        <v>0</v>
      </c>
      <c r="V123" s="251">
        <v>0</v>
      </c>
      <c r="W123" s="253">
        <v>9141.65</v>
      </c>
      <c r="X123" s="252">
        <v>0.1035</v>
      </c>
      <c r="Y123" s="252">
        <v>0.8965</v>
      </c>
      <c r="Z123" s="251">
        <v>1.21</v>
      </c>
      <c r="AA123" s="251">
        <v>60.1</v>
      </c>
      <c r="AB123" s="251">
        <v>412</v>
      </c>
      <c r="AC123" s="242">
        <f t="shared" si="28"/>
        <v>233.992087378641</v>
      </c>
      <c r="AF123" s="243">
        <f t="shared" si="29"/>
        <v>0.111661238313211</v>
      </c>
      <c r="AG123" s="244">
        <f t="shared" si="30"/>
        <v>1.33003242139536</v>
      </c>
      <c r="AH123" s="245">
        <f t="shared" si="31"/>
        <v>1.79485769076887</v>
      </c>
      <c r="AI123" s="246">
        <f t="shared" si="32"/>
        <v>0.0839537717404398</v>
      </c>
      <c r="AJ123" s="208">
        <f t="shared" si="33"/>
        <v>0.321299461392824</v>
      </c>
      <c r="AK123" s="208">
        <f t="shared" si="34"/>
        <v>0.0247230385055806</v>
      </c>
    </row>
    <row r="124" ht="14.5" spans="1:60">
      <c r="A124" s="236">
        <v>45597</v>
      </c>
      <c r="B124" s="102">
        <v>166595.12</v>
      </c>
      <c r="C124" s="102">
        <v>1498612</v>
      </c>
      <c r="D124" s="249">
        <v>0.0751</v>
      </c>
      <c r="E124" s="102">
        <v>112526</v>
      </c>
      <c r="F124" s="250">
        <v>111.17</v>
      </c>
      <c r="G124" s="251">
        <v>1.41</v>
      </c>
      <c r="H124" s="254">
        <v>3091</v>
      </c>
      <c r="I124" s="102">
        <v>159152.13</v>
      </c>
      <c r="J124" s="254">
        <v>3049</v>
      </c>
      <c r="K124" s="102">
        <v>149304.76</v>
      </c>
      <c r="L124" s="102">
        <v>76477.91</v>
      </c>
      <c r="M124" s="251">
        <v>1.36</v>
      </c>
      <c r="N124" s="251">
        <v>1.48</v>
      </c>
      <c r="O124" s="254">
        <v>3039</v>
      </c>
      <c r="P124" s="249">
        <v>0.027</v>
      </c>
      <c r="Q124" s="251">
        <v>54.82</v>
      </c>
      <c r="R124" s="250">
        <v>48.97</v>
      </c>
      <c r="S124" s="102">
        <v>121716</v>
      </c>
      <c r="T124" s="251">
        <v>0</v>
      </c>
      <c r="U124" s="252">
        <v>0</v>
      </c>
      <c r="V124" s="251">
        <v>0</v>
      </c>
      <c r="W124" s="253">
        <v>17747.58</v>
      </c>
      <c r="X124" s="252">
        <v>0.1189</v>
      </c>
      <c r="Y124" s="252">
        <v>0.8811</v>
      </c>
      <c r="Z124" s="251">
        <v>1.2</v>
      </c>
      <c r="AA124" s="251">
        <v>62.4</v>
      </c>
      <c r="AB124" s="251">
        <v>602</v>
      </c>
      <c r="AC124" s="242">
        <f t="shared" si="28"/>
        <v>276.736079734219</v>
      </c>
      <c r="AF124" s="243">
        <f t="shared" si="29"/>
        <v>0.111166279197017</v>
      </c>
      <c r="AG124" s="244">
        <f t="shared" si="30"/>
        <v>1.36871997108022</v>
      </c>
      <c r="AH124" s="245">
        <f t="shared" si="31"/>
        <v>1.85499580991817</v>
      </c>
      <c r="AI124" s="246">
        <f t="shared" si="32"/>
        <v>0.0812191547912335</v>
      </c>
      <c r="AJ124" s="208">
        <f t="shared" si="33"/>
        <v>0.338723561024413</v>
      </c>
      <c r="AK124" s="208">
        <f t="shared" si="34"/>
        <v>0.0249679581977719</v>
      </c>
    </row>
    <row r="125" ht="14.5" spans="1:60">
      <c r="A125" s="236">
        <v>45598</v>
      </c>
      <c r="B125" s="102">
        <v>199881.35</v>
      </c>
      <c r="C125" s="102">
        <v>1914647</v>
      </c>
      <c r="D125" s="249">
        <v>0.0675</v>
      </c>
      <c r="E125" s="102">
        <v>129218</v>
      </c>
      <c r="F125" s="250">
        <v>104.4</v>
      </c>
      <c r="G125" s="251">
        <v>1.31</v>
      </c>
      <c r="H125" s="254">
        <v>3449</v>
      </c>
      <c r="I125" s="102">
        <v>175106.26</v>
      </c>
      <c r="J125" s="254">
        <v>3418</v>
      </c>
      <c r="K125" s="102">
        <v>170198.66</v>
      </c>
      <c r="L125" s="102">
        <v>87165.6</v>
      </c>
      <c r="M125" s="251">
        <v>1.29</v>
      </c>
      <c r="N125" s="251">
        <v>1.55</v>
      </c>
      <c r="O125" s="254">
        <v>3405</v>
      </c>
      <c r="P125" s="249">
        <v>0.0264</v>
      </c>
      <c r="Q125" s="251">
        <v>58.7</v>
      </c>
      <c r="R125" s="250">
        <v>49.79</v>
      </c>
      <c r="S125" s="102">
        <v>143283</v>
      </c>
      <c r="T125" s="251">
        <v>0</v>
      </c>
      <c r="U125" s="252">
        <v>0</v>
      </c>
      <c r="V125" s="251">
        <v>0</v>
      </c>
      <c r="W125" s="253">
        <v>21350.86</v>
      </c>
      <c r="X125" s="252">
        <v>0.1254</v>
      </c>
      <c r="Y125" s="252">
        <v>0.8746</v>
      </c>
      <c r="Z125" s="251">
        <v>1.13</v>
      </c>
      <c r="AA125" s="251">
        <v>67.1</v>
      </c>
      <c r="AB125" s="251">
        <v>745</v>
      </c>
      <c r="AC125" s="242">
        <f t="shared" si="28"/>
        <v>268.29711409396</v>
      </c>
      <c r="AF125" s="243">
        <f t="shared" si="29"/>
        <v>0.104395927813325</v>
      </c>
      <c r="AG125" s="244">
        <f t="shared" si="30"/>
        <v>1.39501092244021</v>
      </c>
      <c r="AH125" s="245">
        <f t="shared" si="31"/>
        <v>1.79619536162699</v>
      </c>
      <c r="AI125" s="246">
        <f t="shared" si="32"/>
        <v>0.0748352046095181</v>
      </c>
      <c r="AJ125" s="208">
        <f t="shared" si="33"/>
        <v>0.338685721164236</v>
      </c>
      <c r="AK125" s="208">
        <f t="shared" si="34"/>
        <v>0.0237641590418961</v>
      </c>
    </row>
    <row r="126" ht="14.5" spans="1:60">
      <c r="A126" s="236">
        <v>45599</v>
      </c>
      <c r="B126" s="102">
        <v>114825.66</v>
      </c>
      <c r="C126" s="102">
        <v>1181945</v>
      </c>
      <c r="D126" s="249">
        <v>0.0483</v>
      </c>
      <c r="E126" s="102">
        <v>57101</v>
      </c>
      <c r="F126" s="250">
        <v>97.15</v>
      </c>
      <c r="G126" s="251">
        <v>1.35</v>
      </c>
      <c r="H126" s="254">
        <v>2036</v>
      </c>
      <c r="I126" s="102">
        <v>110173.14</v>
      </c>
      <c r="J126" s="254">
        <v>2007</v>
      </c>
      <c r="K126" s="102">
        <v>108658.36</v>
      </c>
      <c r="L126" s="102">
        <v>45379.55</v>
      </c>
      <c r="M126" s="251">
        <v>1.34</v>
      </c>
      <c r="N126" s="251">
        <v>2.01</v>
      </c>
      <c r="O126" s="254">
        <v>2008</v>
      </c>
      <c r="P126" s="249">
        <v>0.0352</v>
      </c>
      <c r="Q126" s="251">
        <v>57.18</v>
      </c>
      <c r="R126" s="250">
        <v>54.14</v>
      </c>
      <c r="S126" s="102">
        <v>68067</v>
      </c>
      <c r="T126" s="251">
        <v>0</v>
      </c>
      <c r="U126" s="252">
        <v>0</v>
      </c>
      <c r="V126" s="251">
        <v>0</v>
      </c>
      <c r="W126" s="253">
        <v>13599.54</v>
      </c>
      <c r="X126" s="252">
        <v>0.1252</v>
      </c>
      <c r="Y126" s="252">
        <v>0.8748</v>
      </c>
      <c r="Z126" s="251">
        <v>1.17</v>
      </c>
      <c r="AA126" s="251">
        <v>65.95</v>
      </c>
      <c r="AB126" s="251">
        <v>419</v>
      </c>
      <c r="AC126" s="242">
        <f t="shared" si="28"/>
        <v>274.04692124105</v>
      </c>
      <c r="AF126" s="243">
        <f t="shared" si="29"/>
        <v>0.0971497489307878</v>
      </c>
      <c r="AG126" s="244">
        <f t="shared" si="30"/>
        <v>1.68695050464983</v>
      </c>
      <c r="AH126" s="245">
        <f t="shared" si="31"/>
        <v>2.26303362863061</v>
      </c>
      <c r="AI126" s="246">
        <f t="shared" si="32"/>
        <v>0.0575889741062401</v>
      </c>
      <c r="AJ126" s="208">
        <f t="shared" si="33"/>
        <v>0.294599881288963</v>
      </c>
      <c r="AK126" s="208">
        <f t="shared" si="34"/>
        <v>0.0295003452480644</v>
      </c>
    </row>
    <row r="127" ht="14.5" spans="1:60">
      <c r="A127" s="236">
        <v>45600</v>
      </c>
      <c r="B127" s="102">
        <v>194086.31</v>
      </c>
      <c r="C127" s="102">
        <v>1885269</v>
      </c>
      <c r="D127" s="249">
        <v>0.0553</v>
      </c>
      <c r="E127" s="102">
        <v>104241</v>
      </c>
      <c r="F127" s="250">
        <v>102.95</v>
      </c>
      <c r="G127" s="251">
        <v>1.3</v>
      </c>
      <c r="H127" s="254">
        <v>3444</v>
      </c>
      <c r="I127" s="102">
        <v>174594.41</v>
      </c>
      <c r="J127" s="254">
        <v>3398</v>
      </c>
      <c r="K127" s="102">
        <v>168053.82</v>
      </c>
      <c r="L127" s="102">
        <v>77948.92</v>
      </c>
      <c r="M127" s="251">
        <v>1.27</v>
      </c>
      <c r="N127" s="251">
        <v>1.86</v>
      </c>
      <c r="O127" s="254">
        <v>3384</v>
      </c>
      <c r="P127" s="249">
        <v>0.0325</v>
      </c>
      <c r="Q127" s="251">
        <v>57.35</v>
      </c>
      <c r="R127" s="250">
        <v>49.46</v>
      </c>
      <c r="S127" s="102">
        <v>120983</v>
      </c>
      <c r="T127" s="251">
        <v>0</v>
      </c>
      <c r="U127" s="252">
        <v>0</v>
      </c>
      <c r="V127" s="251">
        <v>0</v>
      </c>
      <c r="W127" s="253">
        <v>19589.66</v>
      </c>
      <c r="X127" s="252">
        <v>0.1166</v>
      </c>
      <c r="Y127" s="252">
        <v>0.8834</v>
      </c>
      <c r="Z127" s="251">
        <v>1.12</v>
      </c>
      <c r="AA127" s="251">
        <v>64.72</v>
      </c>
      <c r="AB127" s="251">
        <v>543</v>
      </c>
      <c r="AC127" s="242">
        <f t="shared" si="28"/>
        <v>357.43335174954</v>
      </c>
      <c r="AF127" s="243">
        <f t="shared" si="29"/>
        <v>0.102948868304735</v>
      </c>
      <c r="AG127" s="244">
        <f t="shared" si="30"/>
        <v>1.60424448062951</v>
      </c>
      <c r="AH127" s="245">
        <f t="shared" si="31"/>
        <v>2.03336617541307</v>
      </c>
      <c r="AI127" s="246">
        <f t="shared" si="32"/>
        <v>0.0641728050479799</v>
      </c>
      <c r="AJ127" s="208">
        <f t="shared" si="33"/>
        <v>0.316861999179359</v>
      </c>
      <c r="AK127" s="208">
        <f t="shared" si="34"/>
        <v>0.0279708719406859</v>
      </c>
    </row>
    <row r="128" ht="14.5" spans="1:60">
      <c r="A128" s="236">
        <v>45601</v>
      </c>
      <c r="B128" s="102">
        <v>118680.97</v>
      </c>
      <c r="C128" s="102">
        <v>1165552</v>
      </c>
      <c r="D128" s="249">
        <v>0.0506</v>
      </c>
      <c r="E128" s="102">
        <v>58954</v>
      </c>
      <c r="F128" s="250">
        <v>101.82</v>
      </c>
      <c r="G128" s="251">
        <v>1.31</v>
      </c>
      <c r="H128" s="254">
        <v>2070</v>
      </c>
      <c r="I128" s="102">
        <v>108490.84</v>
      </c>
      <c r="J128" s="254">
        <v>2030</v>
      </c>
      <c r="K128" s="102">
        <v>105517.55</v>
      </c>
      <c r="L128" s="102">
        <v>46549.31</v>
      </c>
      <c r="M128" s="251">
        <v>1.28</v>
      </c>
      <c r="N128" s="251">
        <v>2.01</v>
      </c>
      <c r="O128" s="254">
        <v>2025</v>
      </c>
      <c r="P128" s="249">
        <v>0.0343</v>
      </c>
      <c r="Q128" s="251">
        <v>58.61</v>
      </c>
      <c r="R128" s="250">
        <v>51.98</v>
      </c>
      <c r="S128" s="102">
        <v>69409</v>
      </c>
      <c r="T128" s="251">
        <v>0</v>
      </c>
      <c r="U128" s="252">
        <v>0</v>
      </c>
      <c r="V128" s="251">
        <v>0</v>
      </c>
      <c r="W128" s="253">
        <v>12864.96</v>
      </c>
      <c r="X128" s="252">
        <v>0.1219</v>
      </c>
      <c r="Y128" s="252">
        <v>0.8781</v>
      </c>
      <c r="Z128" s="251">
        <v>1.13</v>
      </c>
      <c r="AA128" s="251">
        <v>66.94</v>
      </c>
      <c r="AB128" s="251">
        <v>384</v>
      </c>
      <c r="AC128" s="242">
        <f t="shared" si="28"/>
        <v>309.065026041667</v>
      </c>
      <c r="AF128" s="243">
        <f t="shared" si="29"/>
        <v>0.101823831111782</v>
      </c>
      <c r="AG128" s="244">
        <f t="shared" si="30"/>
        <v>1.70987869008342</v>
      </c>
      <c r="AH128" s="245">
        <f t="shared" si="31"/>
        <v>2.19088100966733</v>
      </c>
      <c r="AI128" s="246">
        <f t="shared" si="32"/>
        <v>0.0595503246530399</v>
      </c>
      <c r="AJ128" s="208">
        <f t="shared" si="33"/>
        <v>0.306110812046754</v>
      </c>
      <c r="AK128" s="208">
        <f t="shared" si="34"/>
        <v>0.0291748908642971</v>
      </c>
    </row>
    <row r="129" ht="14.5" spans="1:37">
      <c r="A129" s="236">
        <v>45602</v>
      </c>
      <c r="B129" s="102">
        <v>1132204.79</v>
      </c>
      <c r="C129" s="102">
        <v>11036182</v>
      </c>
      <c r="D129" s="249">
        <v>0.0512</v>
      </c>
      <c r="E129" s="102">
        <v>565096</v>
      </c>
      <c r="F129" s="250">
        <v>102.59</v>
      </c>
      <c r="G129" s="251">
        <v>1.15</v>
      </c>
      <c r="H129" s="254">
        <v>17071</v>
      </c>
      <c r="I129" s="102">
        <v>893755.82</v>
      </c>
      <c r="J129" s="254">
        <v>16979</v>
      </c>
      <c r="K129" s="102">
        <v>888530.84</v>
      </c>
      <c r="L129" s="102">
        <v>405265.05</v>
      </c>
      <c r="M129" s="251">
        <v>1.14</v>
      </c>
      <c r="N129" s="251">
        <v>2</v>
      </c>
      <c r="O129" s="254">
        <v>16962</v>
      </c>
      <c r="P129" s="249">
        <v>0.03</v>
      </c>
      <c r="Q129" s="251">
        <v>66.75</v>
      </c>
      <c r="R129" s="250">
        <v>52.33</v>
      </c>
      <c r="S129" s="102">
        <v>709687</v>
      </c>
      <c r="T129" s="251">
        <v>0</v>
      </c>
      <c r="U129" s="252">
        <v>0</v>
      </c>
      <c r="V129" s="251">
        <v>0</v>
      </c>
      <c r="W129" s="253">
        <v>143829.65</v>
      </c>
      <c r="X129" s="252">
        <v>0.1619</v>
      </c>
      <c r="Y129" s="252">
        <v>0.8381</v>
      </c>
      <c r="Z129" s="251">
        <v>0.97</v>
      </c>
      <c r="AA129" s="251">
        <v>77.88</v>
      </c>
      <c r="AB129" s="254">
        <v>4390</v>
      </c>
      <c r="AC129" s="242">
        <f t="shared" si="28"/>
        <v>257.905419134396</v>
      </c>
      <c r="AF129" s="243">
        <f t="shared" si="29"/>
        <v>0.102590260834771</v>
      </c>
      <c r="AG129" s="244">
        <f t="shared" si="30"/>
        <v>1.595357939486</v>
      </c>
      <c r="AH129" s="245">
        <f t="shared" si="31"/>
        <v>1.82305141562407</v>
      </c>
      <c r="AI129" s="246">
        <f t="shared" si="32"/>
        <v>0.0643054817327224</v>
      </c>
      <c r="AJ129" s="208">
        <f t="shared" si="33"/>
        <v>0.313237237134831</v>
      </c>
      <c r="AK129" s="208">
        <f t="shared" si="34"/>
        <v>0.0239006773408559</v>
      </c>
    </row>
    <row r="130" ht="14.5" spans="1:37">
      <c r="A130" s="236">
        <v>45603</v>
      </c>
      <c r="B130" s="102">
        <v>222464.03</v>
      </c>
      <c r="C130" s="102">
        <v>2149574</v>
      </c>
      <c r="D130" s="249">
        <v>0.0561</v>
      </c>
      <c r="E130" s="102">
        <v>120661</v>
      </c>
      <c r="F130" s="250">
        <v>103.49</v>
      </c>
      <c r="G130" s="251">
        <v>1.28</v>
      </c>
      <c r="H130" s="254">
        <v>3786</v>
      </c>
      <c r="I130" s="102">
        <v>197386.27</v>
      </c>
      <c r="J130" s="254">
        <v>3741</v>
      </c>
      <c r="K130" s="102">
        <v>194809.47</v>
      </c>
      <c r="L130" s="102">
        <v>86452.77</v>
      </c>
      <c r="M130" s="251">
        <v>1.26</v>
      </c>
      <c r="N130" s="251">
        <v>1.84</v>
      </c>
      <c r="O130" s="254">
        <v>3589</v>
      </c>
      <c r="P130" s="249">
        <v>0.0297</v>
      </c>
      <c r="Q130" s="251">
        <v>61.98</v>
      </c>
      <c r="R130" s="250">
        <v>52.07</v>
      </c>
      <c r="S130" s="102">
        <v>158516</v>
      </c>
      <c r="T130" s="251">
        <v>0</v>
      </c>
      <c r="U130" s="252">
        <v>0</v>
      </c>
      <c r="V130" s="251">
        <v>0</v>
      </c>
      <c r="W130" s="253">
        <v>29083.61</v>
      </c>
      <c r="X130" s="252">
        <v>0.1493</v>
      </c>
      <c r="Y130" s="252">
        <v>0.8507</v>
      </c>
      <c r="Z130" s="251">
        <v>1.08</v>
      </c>
      <c r="AA130" s="251">
        <v>69.8</v>
      </c>
      <c r="AB130" s="251">
        <v>985</v>
      </c>
      <c r="AC130" s="242">
        <f t="shared" si="28"/>
        <v>225.851807106599</v>
      </c>
      <c r="AF130" s="243">
        <f t="shared" si="29"/>
        <v>0.103492147746484</v>
      </c>
      <c r="AG130" s="244">
        <f t="shared" si="30"/>
        <v>1.40341687905322</v>
      </c>
      <c r="AH130" s="245">
        <f t="shared" si="31"/>
        <v>1.77434605970375</v>
      </c>
      <c r="AI130" s="246">
        <f t="shared" si="32"/>
        <v>0.0737429834934736</v>
      </c>
      <c r="AJ130" s="208">
        <f t="shared" si="33"/>
        <v>0.307374249739318</v>
      </c>
      <c r="AK130" s="208">
        <f t="shared" si="34"/>
        <v>0.0226412475712231</v>
      </c>
    </row>
    <row r="131" ht="14.5" spans="1:37">
      <c r="A131" s="236">
        <v>45604</v>
      </c>
      <c r="B131" s="102">
        <v>190507.77</v>
      </c>
      <c r="C131" s="102">
        <v>2018287</v>
      </c>
      <c r="D131" s="249">
        <v>0.0449</v>
      </c>
      <c r="E131" s="102">
        <v>90522</v>
      </c>
      <c r="F131" s="250">
        <v>94.39</v>
      </c>
      <c r="G131" s="251">
        <v>1.33</v>
      </c>
      <c r="H131" s="254">
        <v>3375</v>
      </c>
      <c r="I131" s="102">
        <v>172385.01</v>
      </c>
      <c r="J131" s="254">
        <v>3351</v>
      </c>
      <c r="K131" s="102">
        <v>170719.16</v>
      </c>
      <c r="L131" s="102">
        <v>80637.14</v>
      </c>
      <c r="M131" s="251">
        <v>1.32</v>
      </c>
      <c r="N131" s="251">
        <v>2.1</v>
      </c>
      <c r="O131" s="254">
        <v>3344</v>
      </c>
      <c r="P131" s="249">
        <v>0.0369</v>
      </c>
      <c r="Q131" s="251">
        <v>56.97</v>
      </c>
      <c r="R131" s="250">
        <v>50.95</v>
      </c>
      <c r="S131" s="102">
        <v>103791</v>
      </c>
      <c r="T131" s="251">
        <v>0</v>
      </c>
      <c r="U131" s="252">
        <v>0</v>
      </c>
      <c r="V131" s="251">
        <v>0</v>
      </c>
      <c r="W131" s="253">
        <v>22242.48</v>
      </c>
      <c r="X131" s="252">
        <v>0.1303</v>
      </c>
      <c r="Y131" s="252">
        <v>0.8697</v>
      </c>
      <c r="Z131" s="251">
        <v>1.15</v>
      </c>
      <c r="AA131" s="251">
        <v>65</v>
      </c>
      <c r="AB131" s="251">
        <v>677</v>
      </c>
      <c r="AC131" s="242">
        <f t="shared" si="28"/>
        <v>281.399955686854</v>
      </c>
      <c r="AF131" s="243">
        <f t="shared" si="29"/>
        <v>0.0943908225143401</v>
      </c>
      <c r="AG131" s="244">
        <f t="shared" si="30"/>
        <v>1.83549411798711</v>
      </c>
      <c r="AH131" s="245">
        <f t="shared" si="31"/>
        <v>2.42175429468836</v>
      </c>
      <c r="AI131" s="246">
        <f t="shared" si="32"/>
        <v>0.0514252928349635</v>
      </c>
      <c r="AJ131" s="208">
        <f t="shared" si="33"/>
        <v>0.320808111831691</v>
      </c>
      <c r="AK131" s="208">
        <f t="shared" si="34"/>
        <v>0.0322185931342795</v>
      </c>
    </row>
    <row r="132" ht="14.5" spans="1:37">
      <c r="A132" s="236">
        <v>45605</v>
      </c>
      <c r="B132" s="102">
        <v>392659.04</v>
      </c>
      <c r="C132" s="102">
        <v>3527976</v>
      </c>
      <c r="D132" s="249">
        <v>0.047</v>
      </c>
      <c r="E132" s="102">
        <v>165904</v>
      </c>
      <c r="F132" s="250">
        <v>111.3</v>
      </c>
      <c r="G132" s="251">
        <v>1.29</v>
      </c>
      <c r="H132" s="254">
        <v>6703</v>
      </c>
      <c r="I132" s="102">
        <v>351256.05</v>
      </c>
      <c r="J132" s="254">
        <v>6633</v>
      </c>
      <c r="K132" s="102">
        <v>346784.69</v>
      </c>
      <c r="L132" s="102">
        <v>154830.45</v>
      </c>
      <c r="M132" s="251">
        <v>1.28</v>
      </c>
      <c r="N132" s="251">
        <v>2.37</v>
      </c>
      <c r="O132" s="254">
        <v>6639</v>
      </c>
      <c r="P132" s="249">
        <v>0.04</v>
      </c>
      <c r="Q132" s="251">
        <v>59.14</v>
      </c>
      <c r="R132" s="250">
        <v>52.28</v>
      </c>
      <c r="S132" s="102">
        <v>193758</v>
      </c>
      <c r="T132" s="251">
        <v>0</v>
      </c>
      <c r="U132" s="252">
        <v>0</v>
      </c>
      <c r="V132" s="251">
        <v>0</v>
      </c>
      <c r="W132" s="253">
        <v>49285.83</v>
      </c>
      <c r="X132" s="252">
        <v>0.1421</v>
      </c>
      <c r="Y132" s="252">
        <v>0.8579</v>
      </c>
      <c r="Z132" s="251">
        <v>1.1</v>
      </c>
      <c r="AA132" s="251">
        <v>68.92</v>
      </c>
      <c r="AB132" s="254">
        <v>1680</v>
      </c>
      <c r="AC132" s="242">
        <f t="shared" si="28"/>
        <v>233.725619047619</v>
      </c>
      <c r="AF132" s="243">
        <f t="shared" si="29"/>
        <v>0.111298670966016</v>
      </c>
      <c r="AG132" s="244">
        <f t="shared" si="30"/>
        <v>2.02654362658574</v>
      </c>
      <c r="AH132" s="245">
        <f t="shared" si="31"/>
        <v>2.58887447227985</v>
      </c>
      <c r="AI132" s="246">
        <f t="shared" si="32"/>
        <v>0.0549204416356574</v>
      </c>
      <c r="AJ132" s="208">
        <f t="shared" si="33"/>
        <v>0.308663829405149</v>
      </c>
      <c r="AK132" s="208">
        <f t="shared" si="34"/>
        <v>0.0342643916638281</v>
      </c>
    </row>
    <row r="133" ht="14.5" spans="1:37">
      <c r="A133" s="236">
        <v>45606</v>
      </c>
      <c r="B133" s="102">
        <v>424448.07</v>
      </c>
      <c r="C133" s="102">
        <v>3697942</v>
      </c>
      <c r="D133" s="249">
        <v>0.0578</v>
      </c>
      <c r="E133" s="102">
        <v>213698</v>
      </c>
      <c r="F133" s="250">
        <v>114.78</v>
      </c>
      <c r="G133" s="251">
        <v>1.31</v>
      </c>
      <c r="H133" s="254">
        <v>7399</v>
      </c>
      <c r="I133" s="102">
        <v>380834.09</v>
      </c>
      <c r="J133" s="254">
        <v>7329</v>
      </c>
      <c r="K133" s="102">
        <v>376075.17</v>
      </c>
      <c r="L133" s="102">
        <v>173165.03</v>
      </c>
      <c r="M133" s="251">
        <v>1.29</v>
      </c>
      <c r="N133" s="251">
        <v>1.99</v>
      </c>
      <c r="O133" s="254">
        <v>7268</v>
      </c>
      <c r="P133" s="249">
        <v>0.034</v>
      </c>
      <c r="Q133" s="251">
        <v>58.4</v>
      </c>
      <c r="R133" s="250">
        <v>51.31</v>
      </c>
      <c r="S133" s="102">
        <v>257601</v>
      </c>
      <c r="T133" s="251">
        <v>0</v>
      </c>
      <c r="U133" s="252">
        <v>0</v>
      </c>
      <c r="V133" s="251">
        <v>0</v>
      </c>
      <c r="W133" s="253">
        <v>52293.84</v>
      </c>
      <c r="X133" s="252">
        <v>0.1391</v>
      </c>
      <c r="Y133" s="252">
        <v>0.8609</v>
      </c>
      <c r="Z133" s="251">
        <v>1.12</v>
      </c>
      <c r="AA133" s="251">
        <v>66.98</v>
      </c>
      <c r="AB133" s="254">
        <v>1696</v>
      </c>
      <c r="AC133" s="242">
        <f t="shared" si="28"/>
        <v>250.264192216981</v>
      </c>
      <c r="AF133" s="243">
        <f t="shared" si="29"/>
        <v>0.114779536834272</v>
      </c>
      <c r="AG133" s="244">
        <f t="shared" si="30"/>
        <v>1.64769573875878</v>
      </c>
      <c r="AH133" s="245">
        <f t="shared" si="31"/>
        <v>2.1321353566174</v>
      </c>
      <c r="AI133" s="246">
        <f t="shared" si="32"/>
        <v>0.0696606382685288</v>
      </c>
      <c r="AJ133" s="208">
        <f t="shared" si="33"/>
        <v>0.315281055538178</v>
      </c>
      <c r="AK133" s="208">
        <f t="shared" si="34"/>
        <v>0.0282141761872042</v>
      </c>
    </row>
    <row r="134" ht="14.5" spans="1:37">
      <c r="A134" s="236">
        <v>45607</v>
      </c>
      <c r="B134" s="102">
        <v>181983.26</v>
      </c>
      <c r="C134" s="102">
        <v>1670254</v>
      </c>
      <c r="D134" s="249">
        <v>0.0488</v>
      </c>
      <c r="E134" s="102">
        <v>81426</v>
      </c>
      <c r="F134" s="250">
        <v>108.96</v>
      </c>
      <c r="G134" s="251">
        <v>1.23</v>
      </c>
      <c r="H134" s="254">
        <v>2864</v>
      </c>
      <c r="I134" s="102">
        <v>173930.91</v>
      </c>
      <c r="J134" s="254">
        <v>2790</v>
      </c>
      <c r="K134" s="102">
        <v>169711.49</v>
      </c>
      <c r="L134" s="102">
        <v>49080.13</v>
      </c>
      <c r="M134" s="251">
        <v>1.2</v>
      </c>
      <c r="N134" s="251">
        <v>2.23</v>
      </c>
      <c r="O134" s="254">
        <v>2806</v>
      </c>
      <c r="P134" s="249">
        <v>0.0345</v>
      </c>
      <c r="Q134" s="251">
        <v>64.86</v>
      </c>
      <c r="R134" s="250">
        <v>60.83</v>
      </c>
      <c r="S134" s="102">
        <v>113499</v>
      </c>
      <c r="T134" s="251">
        <v>0</v>
      </c>
      <c r="U134" s="252">
        <v>0</v>
      </c>
      <c r="V134" s="251">
        <v>0</v>
      </c>
      <c r="W134" s="253">
        <v>21860.84</v>
      </c>
      <c r="X134" s="252">
        <v>0.1288</v>
      </c>
      <c r="Y134" s="252">
        <v>0.8712</v>
      </c>
      <c r="Z134" s="251">
        <v>1.05</v>
      </c>
      <c r="AA134" s="251">
        <v>74.83</v>
      </c>
      <c r="AB134" s="251">
        <v>604</v>
      </c>
      <c r="AC134" s="242">
        <f t="shared" si="28"/>
        <v>301.29678807947</v>
      </c>
      <c r="AF134" s="243">
        <f t="shared" si="29"/>
        <v>0.108955440310276</v>
      </c>
      <c r="AG134" s="244">
        <f t="shared" si="30"/>
        <v>1.60339086687988</v>
      </c>
      <c r="AH134" s="245">
        <f t="shared" si="31"/>
        <v>1.92769645547538</v>
      </c>
      <c r="AI134" s="246">
        <f t="shared" si="32"/>
        <v>0.0679531376664867</v>
      </c>
      <c r="AJ134" s="208">
        <f t="shared" si="33"/>
        <v>0.224323628117018</v>
      </c>
      <c r="AK134" s="208">
        <f t="shared" si="34"/>
        <v>0.0247226847813637</v>
      </c>
    </row>
    <row r="135" ht="14.5" spans="1:37">
      <c r="A135" s="236">
        <v>45608</v>
      </c>
      <c r="B135" s="102">
        <v>247451.56</v>
      </c>
      <c r="C135" s="102">
        <v>3463340</v>
      </c>
      <c r="D135" s="249">
        <v>0.0439</v>
      </c>
      <c r="E135" s="102">
        <v>151998</v>
      </c>
      <c r="F135" s="250">
        <v>71.45</v>
      </c>
      <c r="G135" s="251">
        <v>1.19</v>
      </c>
      <c r="H135" s="254">
        <v>3803</v>
      </c>
      <c r="I135" s="102">
        <v>217331.08</v>
      </c>
      <c r="J135" s="254">
        <v>3768</v>
      </c>
      <c r="K135" s="102">
        <v>214903.98</v>
      </c>
      <c r="L135" s="102">
        <v>77394.28</v>
      </c>
      <c r="M135" s="251">
        <v>1.18</v>
      </c>
      <c r="N135" s="251">
        <v>1.63</v>
      </c>
      <c r="O135" s="254">
        <v>4283</v>
      </c>
      <c r="P135" s="249">
        <v>0.0282</v>
      </c>
      <c r="Q135" s="251">
        <v>57.78</v>
      </c>
      <c r="R135" s="250">
        <v>57.03</v>
      </c>
      <c r="S135" s="102">
        <v>223926</v>
      </c>
      <c r="T135" s="251">
        <v>530</v>
      </c>
      <c r="U135" s="252">
        <v>0.433</v>
      </c>
      <c r="V135" s="251">
        <v>1.63</v>
      </c>
      <c r="W135" s="253">
        <v>26896.86</v>
      </c>
      <c r="X135" s="252">
        <v>0.1252</v>
      </c>
      <c r="Y135" s="252">
        <v>0.8748</v>
      </c>
      <c r="Z135" s="251">
        <v>1.04</v>
      </c>
      <c r="AA135" s="251">
        <v>75.01</v>
      </c>
      <c r="AB135" s="251">
        <v>942</v>
      </c>
      <c r="AC135" s="242">
        <f t="shared" si="28"/>
        <v>262.687430997877</v>
      </c>
      <c r="AF135" s="243">
        <f t="shared" si="29"/>
        <v>0.0714488210802289</v>
      </c>
      <c r="AG135" s="244">
        <f t="shared" si="30"/>
        <v>1.10505952859427</v>
      </c>
      <c r="AH135" s="245">
        <f t="shared" si="31"/>
        <v>1.3053341728964</v>
      </c>
      <c r="AI135" s="246">
        <f t="shared" si="32"/>
        <v>0.0646560834339106</v>
      </c>
      <c r="AJ135" s="208">
        <f t="shared" si="33"/>
        <v>0.264778449245644</v>
      </c>
      <c r="AK135" s="208">
        <f t="shared" si="34"/>
        <v>0.0191268544072595</v>
      </c>
    </row>
    <row r="136" ht="14.5" spans="1:37">
      <c r="A136" s="236">
        <v>45609</v>
      </c>
      <c r="B136" s="102">
        <v>72710.68</v>
      </c>
      <c r="C136" s="102">
        <v>1162737</v>
      </c>
      <c r="D136" s="249">
        <v>0.038</v>
      </c>
      <c r="E136" s="102">
        <v>44173</v>
      </c>
      <c r="F136" s="250">
        <v>62.53</v>
      </c>
      <c r="G136" s="251">
        <v>1.23</v>
      </c>
      <c r="H136" s="254">
        <v>1172</v>
      </c>
      <c r="I136" s="102">
        <v>65626.86</v>
      </c>
      <c r="J136" s="254">
        <v>1160</v>
      </c>
      <c r="K136" s="102">
        <v>64896.96</v>
      </c>
      <c r="L136" s="102">
        <v>23885.79</v>
      </c>
      <c r="M136" s="251">
        <v>1.22</v>
      </c>
      <c r="N136" s="251">
        <v>1.65</v>
      </c>
      <c r="O136" s="254">
        <v>1166</v>
      </c>
      <c r="P136" s="249">
        <v>0.0264</v>
      </c>
      <c r="Q136" s="251">
        <v>62.36</v>
      </c>
      <c r="R136" s="250">
        <v>55.95</v>
      </c>
      <c r="S136" s="102">
        <v>63964</v>
      </c>
      <c r="T136" s="251">
        <v>2</v>
      </c>
      <c r="U136" s="252">
        <v>0</v>
      </c>
      <c r="V136" s="251">
        <v>0</v>
      </c>
      <c r="W136" s="253">
        <v>7245.78</v>
      </c>
      <c r="X136" s="252">
        <v>0.1117</v>
      </c>
      <c r="Y136" s="252">
        <v>0.8883</v>
      </c>
      <c r="Z136" s="251">
        <v>1.09</v>
      </c>
      <c r="AA136" s="251">
        <v>70.12</v>
      </c>
      <c r="AB136" s="251">
        <v>226</v>
      </c>
      <c r="AC136" s="242">
        <f t="shared" si="28"/>
        <v>321.728672566372</v>
      </c>
      <c r="AF136" s="243">
        <f t="shared" si="29"/>
        <v>0.0625340726234737</v>
      </c>
      <c r="AG136" s="244">
        <f t="shared" si="30"/>
        <v>1.13674379338378</v>
      </c>
      <c r="AH136" s="245">
        <f t="shared" si="31"/>
        <v>1.3880112250641</v>
      </c>
      <c r="AI136" s="246">
        <f t="shared" si="32"/>
        <v>0.0550115804347845</v>
      </c>
      <c r="AJ136" s="208">
        <f t="shared" si="33"/>
        <v>0.26903638375698</v>
      </c>
      <c r="AK136" s="208">
        <f t="shared" si="34"/>
        <v>0.0182290038146457</v>
      </c>
    </row>
    <row r="137" ht="14.5" spans="1:37">
      <c r="A137" s="236">
        <v>45610</v>
      </c>
      <c r="B137" s="102">
        <v>42309.99</v>
      </c>
      <c r="C137" s="102">
        <v>680586</v>
      </c>
      <c r="D137" s="249">
        <v>0.0393</v>
      </c>
      <c r="E137" s="102">
        <v>26733</v>
      </c>
      <c r="F137" s="250">
        <v>62.17</v>
      </c>
      <c r="G137" s="251">
        <v>1.19</v>
      </c>
      <c r="H137" s="251">
        <v>659</v>
      </c>
      <c r="I137" s="102">
        <v>36539.44</v>
      </c>
      <c r="J137" s="251">
        <v>651</v>
      </c>
      <c r="K137" s="102">
        <v>36016.44</v>
      </c>
      <c r="L137" s="102">
        <v>13619.08</v>
      </c>
      <c r="M137" s="251">
        <v>1.17</v>
      </c>
      <c r="N137" s="251">
        <v>1.58</v>
      </c>
      <c r="O137" s="251">
        <v>646</v>
      </c>
      <c r="P137" s="249">
        <v>0.0242</v>
      </c>
      <c r="Q137" s="251">
        <v>65.5</v>
      </c>
      <c r="R137" s="250">
        <v>55.32</v>
      </c>
      <c r="S137" s="102">
        <v>43443</v>
      </c>
      <c r="T137" s="251">
        <v>0</v>
      </c>
      <c r="U137" s="252">
        <v>0</v>
      </c>
      <c r="V137" s="251">
        <v>0</v>
      </c>
      <c r="W137" s="253">
        <v>3195.09</v>
      </c>
      <c r="X137" s="252">
        <v>0.0887</v>
      </c>
      <c r="Y137" s="252">
        <v>0.9113</v>
      </c>
      <c r="Z137" s="251">
        <v>1.07</v>
      </c>
      <c r="AA137" s="251">
        <v>71.47</v>
      </c>
      <c r="AB137" s="251">
        <v>147</v>
      </c>
      <c r="AC137" s="242">
        <f t="shared" si="28"/>
        <v>287.82306122449</v>
      </c>
      <c r="AF137" s="243">
        <f t="shared" si="29"/>
        <v>0.0621670002027664</v>
      </c>
      <c r="AG137" s="244">
        <f t="shared" si="30"/>
        <v>0.973919618810856</v>
      </c>
      <c r="AH137" s="245">
        <f t="shared" si="31"/>
        <v>1.14254356282945</v>
      </c>
      <c r="AI137" s="246">
        <f t="shared" si="32"/>
        <v>0.0638317567508001</v>
      </c>
      <c r="AJ137" s="208">
        <f t="shared" si="33"/>
        <v>0.274381733081471</v>
      </c>
      <c r="AK137" s="208">
        <f t="shared" si="34"/>
        <v>0.0148700596183505</v>
      </c>
    </row>
    <row r="138" ht="14.5" spans="1:37">
      <c r="A138" s="236">
        <v>45611</v>
      </c>
      <c r="B138" s="102">
        <v>64204.05</v>
      </c>
      <c r="C138" s="102">
        <v>1105037</v>
      </c>
      <c r="D138" s="249">
        <v>0.0371</v>
      </c>
      <c r="E138" s="102">
        <v>40994</v>
      </c>
      <c r="F138" s="250">
        <v>58.1</v>
      </c>
      <c r="G138" s="251">
        <v>1.25</v>
      </c>
      <c r="H138" s="254">
        <v>1044</v>
      </c>
      <c r="I138" s="102">
        <v>58329.54</v>
      </c>
      <c r="J138" s="254">
        <v>1028</v>
      </c>
      <c r="K138" s="102">
        <v>57252.34</v>
      </c>
      <c r="L138" s="102">
        <v>21614.76</v>
      </c>
      <c r="M138" s="251">
        <v>1.23</v>
      </c>
      <c r="N138" s="251">
        <v>1.57</v>
      </c>
      <c r="O138" s="254">
        <v>1036</v>
      </c>
      <c r="P138" s="249">
        <v>0.0253</v>
      </c>
      <c r="Q138" s="251">
        <v>61.97</v>
      </c>
      <c r="R138" s="250">
        <v>55.69</v>
      </c>
      <c r="S138" s="102">
        <v>54921</v>
      </c>
      <c r="T138" s="251">
        <v>0</v>
      </c>
      <c r="U138" s="252">
        <v>0</v>
      </c>
      <c r="V138" s="251">
        <v>0</v>
      </c>
      <c r="W138" s="253">
        <v>5253.37</v>
      </c>
      <c r="X138" s="252">
        <v>0.0918</v>
      </c>
      <c r="Y138" s="252">
        <v>0.9082</v>
      </c>
      <c r="Z138" s="251">
        <v>1.12</v>
      </c>
      <c r="AA138" s="251">
        <v>68.67</v>
      </c>
      <c r="AB138" s="251">
        <v>198</v>
      </c>
      <c r="AC138" s="242">
        <f t="shared" si="28"/>
        <v>324.262878787879</v>
      </c>
      <c r="AF138" s="243">
        <f t="shared" si="29"/>
        <v>0.058101267197388</v>
      </c>
      <c r="AG138" s="244">
        <f t="shared" si="30"/>
        <v>1.169025509368</v>
      </c>
      <c r="AH138" s="245">
        <f t="shared" si="31"/>
        <v>1.43600990513647</v>
      </c>
      <c r="AI138" s="246">
        <f t="shared" si="32"/>
        <v>0.0497005982605107</v>
      </c>
      <c r="AJ138" s="208">
        <f t="shared" si="33"/>
        <v>0.274065611642878</v>
      </c>
      <c r="AK138" s="208">
        <f t="shared" si="34"/>
        <v>0.0188634584220972</v>
      </c>
    </row>
    <row r="139" ht="14.5" spans="1:37">
      <c r="A139" s="236">
        <v>45612</v>
      </c>
      <c r="B139" s="102">
        <v>47363.48</v>
      </c>
      <c r="C139" s="102">
        <v>698987</v>
      </c>
      <c r="D139" s="249">
        <v>0.0409</v>
      </c>
      <c r="E139" s="102">
        <v>28621</v>
      </c>
      <c r="F139" s="250">
        <v>67.76</v>
      </c>
      <c r="G139" s="251">
        <v>1.23</v>
      </c>
      <c r="H139" s="251">
        <v>751</v>
      </c>
      <c r="I139" s="102">
        <v>45467.42</v>
      </c>
      <c r="J139" s="251">
        <v>742</v>
      </c>
      <c r="K139" s="102">
        <v>44816.35</v>
      </c>
      <c r="L139" s="102">
        <v>12856.43</v>
      </c>
      <c r="M139" s="251">
        <v>1.22</v>
      </c>
      <c r="N139" s="251">
        <v>1.65</v>
      </c>
      <c r="O139" s="251">
        <v>749</v>
      </c>
      <c r="P139" s="249">
        <v>0.0262</v>
      </c>
      <c r="Q139" s="251">
        <v>63.24</v>
      </c>
      <c r="R139" s="250">
        <v>60.4</v>
      </c>
      <c r="S139" s="102">
        <v>36782</v>
      </c>
      <c r="T139" s="251">
        <v>0</v>
      </c>
      <c r="U139" s="252">
        <v>0</v>
      </c>
      <c r="V139" s="251">
        <v>0</v>
      </c>
      <c r="W139" s="253">
        <v>4361.39</v>
      </c>
      <c r="X139" s="252">
        <v>0.0973</v>
      </c>
      <c r="Y139" s="252">
        <v>0.9027</v>
      </c>
      <c r="Z139" s="251">
        <v>1.1</v>
      </c>
      <c r="AA139" s="251">
        <v>70.38</v>
      </c>
      <c r="AB139" s="251">
        <v>165</v>
      </c>
      <c r="AC139" s="242">
        <f t="shared" si="28"/>
        <v>287.051393939394</v>
      </c>
      <c r="AF139" s="243">
        <f t="shared" si="29"/>
        <v>0.0677601729359774</v>
      </c>
      <c r="AG139" s="244">
        <f t="shared" si="30"/>
        <v>1.28768093089011</v>
      </c>
      <c r="AH139" s="245">
        <f t="shared" si="31"/>
        <v>1.56796204665325</v>
      </c>
      <c r="AI139" s="246">
        <f t="shared" si="32"/>
        <v>0.0526218656427087</v>
      </c>
      <c r="AJ139" s="208">
        <f t="shared" si="33"/>
        <v>0.222920240709742</v>
      </c>
      <c r="AK139" s="208">
        <f t="shared" si="34"/>
        <v>0.0203632211407754</v>
      </c>
    </row>
    <row r="140" ht="14.5" spans="1:37">
      <c r="A140" s="236">
        <v>45613</v>
      </c>
      <c r="B140" s="102">
        <v>51040.26</v>
      </c>
      <c r="C140" s="102">
        <v>798082</v>
      </c>
      <c r="D140" s="249">
        <v>0.0293</v>
      </c>
      <c r="E140" s="102">
        <v>23357</v>
      </c>
      <c r="F140" s="250">
        <v>63.95</v>
      </c>
      <c r="G140" s="251">
        <v>1.18</v>
      </c>
      <c r="H140" s="251">
        <v>763</v>
      </c>
      <c r="I140" s="102">
        <v>47396.31</v>
      </c>
      <c r="J140" s="251">
        <v>754</v>
      </c>
      <c r="K140" s="102">
        <v>46749.21</v>
      </c>
      <c r="L140" s="102">
        <v>12810.69</v>
      </c>
      <c r="M140" s="251">
        <v>1.17</v>
      </c>
      <c r="N140" s="251">
        <v>2.19</v>
      </c>
      <c r="O140" s="251">
        <v>756</v>
      </c>
      <c r="P140" s="249">
        <v>0.0324</v>
      </c>
      <c r="Q140" s="251">
        <v>67.51</v>
      </c>
      <c r="R140" s="250">
        <v>62</v>
      </c>
      <c r="S140" s="102">
        <v>29703</v>
      </c>
      <c r="T140" s="251">
        <v>0</v>
      </c>
      <c r="U140" s="252">
        <v>0</v>
      </c>
      <c r="V140" s="251">
        <v>0</v>
      </c>
      <c r="W140" s="253">
        <v>5422.11</v>
      </c>
      <c r="X140" s="252">
        <v>0.116</v>
      </c>
      <c r="Y140" s="252">
        <v>0.884</v>
      </c>
      <c r="Z140" s="251">
        <v>1.04</v>
      </c>
      <c r="AA140" s="251">
        <v>76.29</v>
      </c>
      <c r="AB140" s="251">
        <v>193</v>
      </c>
      <c r="AC140" s="242">
        <f t="shared" si="28"/>
        <v>264.457305699482</v>
      </c>
      <c r="AF140" s="243">
        <f t="shared" si="29"/>
        <v>0.0639536538851897</v>
      </c>
      <c r="AG140" s="244">
        <f t="shared" si="30"/>
        <v>1.7183537016463</v>
      </c>
      <c r="AH140" s="245">
        <f t="shared" si="31"/>
        <v>2.00518129481871</v>
      </c>
      <c r="AI140" s="246">
        <f t="shared" si="32"/>
        <v>0.0372179801073073</v>
      </c>
      <c r="AJ140" s="208">
        <f t="shared" si="33"/>
        <v>0.215089179128911</v>
      </c>
      <c r="AK140" s="208">
        <f t="shared" si="34"/>
        <v>0.0254519745480255</v>
      </c>
    </row>
    <row r="141" ht="14.5" spans="1:37">
      <c r="A141" s="236">
        <v>45614</v>
      </c>
      <c r="B141" s="102">
        <v>41312.64</v>
      </c>
      <c r="C141" s="102">
        <v>628518</v>
      </c>
      <c r="D141" s="249">
        <v>0.0339</v>
      </c>
      <c r="E141" s="102">
        <v>21305</v>
      </c>
      <c r="F141" s="250">
        <v>65.73</v>
      </c>
      <c r="G141" s="251">
        <v>1.14</v>
      </c>
      <c r="H141" s="251">
        <v>611</v>
      </c>
      <c r="I141" s="102">
        <v>33980.46</v>
      </c>
      <c r="J141" s="251">
        <v>598</v>
      </c>
      <c r="K141" s="102">
        <v>33273.86</v>
      </c>
      <c r="L141" s="102">
        <v>13101.47</v>
      </c>
      <c r="M141" s="251">
        <v>1.12</v>
      </c>
      <c r="N141" s="251">
        <v>1.94</v>
      </c>
      <c r="O141" s="251">
        <v>603</v>
      </c>
      <c r="P141" s="249">
        <v>0.0283</v>
      </c>
      <c r="Q141" s="251">
        <v>68.51</v>
      </c>
      <c r="R141" s="250">
        <v>55.64</v>
      </c>
      <c r="S141" s="102">
        <v>28060</v>
      </c>
      <c r="T141" s="251">
        <v>0</v>
      </c>
      <c r="U141" s="252">
        <v>0</v>
      </c>
      <c r="V141" s="251">
        <v>0</v>
      </c>
      <c r="W141" s="253">
        <v>3482.68</v>
      </c>
      <c r="X141" s="252">
        <v>0.1047</v>
      </c>
      <c r="Y141" s="252">
        <v>0.8953</v>
      </c>
      <c r="Z141" s="251">
        <v>1.01</v>
      </c>
      <c r="AA141" s="251">
        <v>75.94</v>
      </c>
      <c r="AB141" s="251">
        <v>116</v>
      </c>
      <c r="AC141" s="242">
        <f t="shared" si="28"/>
        <v>356.143448275862</v>
      </c>
      <c r="AF141" s="243">
        <f t="shared" si="29"/>
        <v>0.0657302416159919</v>
      </c>
      <c r="AG141" s="244">
        <f t="shared" si="30"/>
        <v>1.47229650748396</v>
      </c>
      <c r="AH141" s="245">
        <f t="shared" si="31"/>
        <v>1.65272024233785</v>
      </c>
      <c r="AI141" s="246">
        <f t="shared" si="32"/>
        <v>0.0446447038907398</v>
      </c>
      <c r="AJ141" s="208">
        <f t="shared" si="33"/>
        <v>0.282509472169794</v>
      </c>
      <c r="AK141" s="208">
        <f t="shared" si="34"/>
        <v>0.0214896650035638</v>
      </c>
    </row>
    <row r="142" ht="14.5" spans="1:37">
      <c r="A142" s="236">
        <v>45615</v>
      </c>
      <c r="B142" s="102">
        <v>16129.5</v>
      </c>
      <c r="C142" s="102">
        <v>189460</v>
      </c>
      <c r="D142" s="249">
        <v>0.0456</v>
      </c>
      <c r="E142" s="102">
        <v>8636</v>
      </c>
      <c r="F142" s="250">
        <v>85.13</v>
      </c>
      <c r="G142" s="251">
        <v>1.03</v>
      </c>
      <c r="H142" s="251">
        <v>215</v>
      </c>
      <c r="I142" s="102">
        <v>12514.1</v>
      </c>
      <c r="J142" s="251">
        <v>213</v>
      </c>
      <c r="K142" s="102">
        <v>12410.28</v>
      </c>
      <c r="L142" s="102">
        <v>4022.27</v>
      </c>
      <c r="M142" s="251">
        <v>1.02</v>
      </c>
      <c r="N142" s="251">
        <v>1.87</v>
      </c>
      <c r="O142" s="251">
        <v>214</v>
      </c>
      <c r="P142" s="249">
        <v>0.0248</v>
      </c>
      <c r="Q142" s="251">
        <v>75.37</v>
      </c>
      <c r="R142" s="250">
        <v>58.26</v>
      </c>
      <c r="S142" s="102">
        <v>11441</v>
      </c>
      <c r="T142" s="251">
        <v>0</v>
      </c>
      <c r="U142" s="252">
        <v>0</v>
      </c>
      <c r="V142" s="251">
        <v>0</v>
      </c>
      <c r="W142" s="253">
        <v>1456.09</v>
      </c>
      <c r="X142" s="252">
        <v>0.1173</v>
      </c>
      <c r="Y142" s="252">
        <v>0.8827</v>
      </c>
      <c r="Z142" s="251">
        <v>0.9</v>
      </c>
      <c r="AA142" s="251">
        <v>85.34</v>
      </c>
      <c r="AB142" s="251">
        <v>54</v>
      </c>
      <c r="AC142" s="242">
        <f t="shared" si="28"/>
        <v>298.694444444444</v>
      </c>
      <c r="AF142" s="243">
        <f t="shared" si="29"/>
        <v>0.085134065238045</v>
      </c>
      <c r="AG142" s="244">
        <f t="shared" si="30"/>
        <v>1.40979809457215</v>
      </c>
      <c r="AH142" s="245">
        <f t="shared" si="31"/>
        <v>1.43628616379687</v>
      </c>
      <c r="AI142" s="246">
        <f t="shared" si="32"/>
        <v>0.0603874168689961</v>
      </c>
      <c r="AJ142" s="208">
        <f t="shared" si="33"/>
        <v>0.244774548076835</v>
      </c>
      <c r="AK142" s="208">
        <f t="shared" si="34"/>
        <v>0.0187046586836815</v>
      </c>
    </row>
  </sheetData>
  <mergeCells count="7">
    <mergeCell ref="A1:BH1"/>
    <mergeCell ref="B2:AF2"/>
    <mergeCell ref="AS2:AU2"/>
    <mergeCell ref="AV2:AZ2"/>
    <mergeCell ref="BA2:BE2"/>
    <mergeCell ref="BF2:BH2"/>
    <mergeCell ref="A2:A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2"/>
  <sheetViews>
    <sheetView workbookViewId="0">
      <pane xSplit="1" ySplit="2" topLeftCell="B3" activePane="bottomRight" state="frozen"/>
      <selection/>
      <selection pane="topRight"/>
      <selection pane="bottomLeft"/>
      <selection pane="bottomRight" activeCell="K16" sqref="K16"/>
    </sheetView>
  </sheetViews>
  <sheetFormatPr defaultColWidth="9.81818181818182" defaultRowHeight="16.5"/>
  <cols>
    <col min="1" max="1" width="12.2727272727273" style="169" customWidth="1"/>
    <col min="2" max="2" width="14.3909090909091" style="186" customWidth="1"/>
    <col min="3" max="3" width="18.6363636363636" style="186" hidden="1" customWidth="1"/>
    <col min="4" max="4" width="16.9727272727273" style="186" customWidth="1"/>
    <col min="5" max="5" width="20.6090909090909" style="186" hidden="1" customWidth="1"/>
    <col min="6" max="6" width="14.3909090909091" style="187" customWidth="1"/>
    <col min="7" max="8" width="14.3909090909091" style="169" customWidth="1"/>
    <col min="9" max="9" width="16.8181818181818" style="169" customWidth="1"/>
    <col min="10" max="10" width="15.5454545454545" style="169" customWidth="1"/>
    <col min="11" max="11" width="17.8181818181818" style="169" customWidth="1"/>
    <col min="12" max="12" width="16.3636363636364" style="169" customWidth="1"/>
    <col min="13" max="13" width="16.5454545454545" style="169" customWidth="1"/>
    <col min="14" max="14" width="14" style="169" customWidth="1"/>
    <col min="15" max="16378" width="9.81818181818182" style="185"/>
    <col min="16379" max="16384" width="9.81818181818182" style="188"/>
  </cols>
  <sheetData>
    <row r="1" s="185" customFormat="1" ht="14" customHeight="1" spans="1:15">
      <c r="A1" s="189" t="s">
        <v>129</v>
      </c>
      <c r="B1" s="190"/>
      <c r="C1" s="190"/>
      <c r="D1" s="190"/>
      <c r="E1" s="190"/>
      <c r="F1" s="190"/>
      <c r="G1" s="190"/>
      <c r="H1" s="190"/>
      <c r="I1" s="190"/>
      <c r="J1" s="190"/>
      <c r="K1" s="190"/>
      <c r="L1" s="190"/>
      <c r="M1" s="190"/>
      <c r="N1" s="191"/>
    </row>
    <row r="2" s="185" customFormat="1" ht="35" customHeight="1" spans="1:15">
      <c r="A2" s="192" t="s">
        <v>22</v>
      </c>
      <c r="B2" s="193" t="s">
        <v>130</v>
      </c>
      <c r="C2" s="193" t="s">
        <v>131</v>
      </c>
      <c r="D2" s="193" t="s">
        <v>132</v>
      </c>
      <c r="E2" s="193" t="s">
        <v>133</v>
      </c>
      <c r="F2" s="193" t="s">
        <v>134</v>
      </c>
      <c r="G2" s="192" t="s">
        <v>135</v>
      </c>
      <c r="H2" s="192" t="s">
        <v>136</v>
      </c>
      <c r="I2" s="49" t="s">
        <v>137</v>
      </c>
      <c r="J2" s="49" t="s">
        <v>138</v>
      </c>
      <c r="K2" s="49" t="s">
        <v>139</v>
      </c>
      <c r="L2" s="49" t="s">
        <v>140</v>
      </c>
      <c r="M2" s="49" t="s">
        <v>141</v>
      </c>
      <c r="N2" s="49" t="s">
        <v>142</v>
      </c>
    </row>
    <row r="3" s="185" customFormat="1" spans="1:15">
      <c r="A3" s="194">
        <v>45477</v>
      </c>
      <c r="B3" s="186"/>
      <c r="C3" s="186"/>
      <c r="D3" s="186"/>
      <c r="E3" s="186"/>
      <c r="F3" s="187">
        <f>B3+D3</f>
        <v>0</v>
      </c>
      <c r="G3" s="195" t="e">
        <f>B3/F3</f>
        <v>#DIV/0!</v>
      </c>
      <c r="H3" s="195" t="e">
        <f>D3/F3</f>
        <v>#DIV/0!</v>
      </c>
      <c r="I3" s="169"/>
      <c r="J3" s="169"/>
      <c r="K3" s="169"/>
      <c r="L3" s="169"/>
      <c r="M3" s="169"/>
      <c r="N3" s="169"/>
    </row>
    <row r="4" s="185" customFormat="1" spans="1:15">
      <c r="A4" s="194">
        <v>45478</v>
      </c>
      <c r="B4" s="186"/>
      <c r="C4" s="186"/>
      <c r="D4" s="186"/>
      <c r="E4" s="186"/>
      <c r="F4" s="187">
        <f>B4+D4</f>
        <v>0</v>
      </c>
      <c r="G4" s="195" t="e">
        <f>B4/F4</f>
        <v>#DIV/0!</v>
      </c>
      <c r="H4" s="195" t="e">
        <f>D4/F4</f>
        <v>#DIV/0!</v>
      </c>
      <c r="I4" s="169"/>
      <c r="J4" s="169"/>
      <c r="K4" s="169"/>
      <c r="L4" s="169"/>
      <c r="M4" s="169"/>
      <c r="N4" s="169"/>
      <c r="O4" s="185" t="s">
        <v>143</v>
      </c>
    </row>
    <row r="5" s="185" customFormat="1" spans="1:15">
      <c r="A5" s="194">
        <v>45479</v>
      </c>
      <c r="B5" s="186"/>
      <c r="C5" s="186"/>
      <c r="D5" s="186"/>
      <c r="E5" s="186"/>
      <c r="F5" s="187">
        <f>B5+D5</f>
        <v>0</v>
      </c>
      <c r="G5" s="195" t="e">
        <f>B5/F5</f>
        <v>#DIV/0!</v>
      </c>
      <c r="H5" s="195" t="e">
        <f>D5/F5</f>
        <v>#DIV/0!</v>
      </c>
      <c r="I5" s="169"/>
      <c r="J5" s="169"/>
      <c r="K5" s="169"/>
      <c r="L5" s="169"/>
      <c r="M5" s="169"/>
      <c r="N5" s="169"/>
    </row>
    <row r="6" s="185" customFormat="1" spans="1:15">
      <c r="A6" s="194">
        <v>45480</v>
      </c>
      <c r="B6" s="186"/>
      <c r="C6" s="186"/>
      <c r="D6" s="186"/>
      <c r="E6" s="186"/>
      <c r="F6" s="187">
        <f>B6+D6</f>
        <v>0</v>
      </c>
      <c r="G6" s="195" t="e">
        <f>B6/F6</f>
        <v>#DIV/0!</v>
      </c>
      <c r="H6" s="195" t="e">
        <f>D6/F6</f>
        <v>#DIV/0!</v>
      </c>
      <c r="I6" s="169"/>
      <c r="J6" s="169"/>
      <c r="K6" s="169"/>
      <c r="L6" s="169"/>
      <c r="M6" s="169"/>
      <c r="N6" s="169"/>
    </row>
    <row r="7" spans="1:15">
      <c r="A7" s="194">
        <v>45481</v>
      </c>
    </row>
    <row r="8" ht="17" spans="1:15">
      <c r="A8" s="194">
        <v>45482</v>
      </c>
      <c r="K8" s="196"/>
      <c r="L8" s="197"/>
    </row>
    <row r="9" ht="17" spans="1:15">
      <c r="A9" s="194">
        <v>45483</v>
      </c>
      <c r="K9" s="198"/>
      <c r="L9" s="199"/>
    </row>
    <row r="10" spans="1:15">
      <c r="A10" s="194">
        <v>45484</v>
      </c>
      <c r="K10" s="198"/>
      <c r="L10" s="198"/>
    </row>
    <row r="11" ht="17" spans="1:15">
      <c r="A11" s="194">
        <v>45485</v>
      </c>
      <c r="K11" s="196"/>
      <c r="L11" s="197"/>
    </row>
    <row r="12" ht="17" spans="1:15">
      <c r="A12" s="194">
        <v>45486</v>
      </c>
      <c r="K12" s="198"/>
      <c r="L12" s="197"/>
    </row>
    <row r="13" spans="1:15">
      <c r="A13" s="194">
        <v>45487</v>
      </c>
      <c r="K13" s="198"/>
      <c r="L13" s="198"/>
    </row>
    <row r="14" ht="17" spans="1:15">
      <c r="A14" s="194">
        <v>45488</v>
      </c>
      <c r="K14" s="200"/>
      <c r="L14" s="199"/>
    </row>
    <row r="15" ht="17" spans="1:15">
      <c r="A15" s="194">
        <v>45489</v>
      </c>
      <c r="K15" s="198"/>
      <c r="L15" s="199"/>
    </row>
    <row r="16" spans="1:15">
      <c r="A16" s="194">
        <v>45490</v>
      </c>
    </row>
    <row r="17" spans="1:1">
      <c r="A17" s="194">
        <v>45491</v>
      </c>
    </row>
    <row r="18" spans="1:1">
      <c r="A18" s="194">
        <v>45492</v>
      </c>
    </row>
    <row r="19" spans="1:1">
      <c r="A19" s="194">
        <v>45493</v>
      </c>
    </row>
    <row r="20" spans="1:1">
      <c r="A20" s="194">
        <v>45494</v>
      </c>
    </row>
    <row r="21" spans="1:1">
      <c r="A21" s="194">
        <v>45495</v>
      </c>
    </row>
    <row r="22" spans="1:1">
      <c r="A22" s="194">
        <v>45496</v>
      </c>
    </row>
    <row r="23" spans="1:1">
      <c r="A23" s="194">
        <v>45497</v>
      </c>
    </row>
    <row r="24" spans="1:1">
      <c r="A24" s="194">
        <v>45498</v>
      </c>
    </row>
    <row r="25" spans="1:1">
      <c r="A25" s="194">
        <v>45499</v>
      </c>
    </row>
    <row r="26" spans="1:1">
      <c r="A26" s="194">
        <v>45500</v>
      </c>
    </row>
    <row r="27" spans="1:1">
      <c r="A27" s="194">
        <v>45501</v>
      </c>
    </row>
    <row r="28" spans="1:1">
      <c r="A28" s="194">
        <v>45502</v>
      </c>
    </row>
    <row r="29" spans="1:1">
      <c r="A29" s="194">
        <v>45503</v>
      </c>
    </row>
    <row r="30" spans="1:1">
      <c r="A30" s="194">
        <v>45504</v>
      </c>
    </row>
    <row r="31" spans="1:1">
      <c r="A31" s="194">
        <v>45505</v>
      </c>
    </row>
    <row r="32" spans="1:1">
      <c r="A32" s="194">
        <v>45506</v>
      </c>
    </row>
    <row r="33" spans="1:1">
      <c r="A33" s="194">
        <v>45507</v>
      </c>
    </row>
    <row r="34" spans="1:1">
      <c r="A34" s="194">
        <v>45508</v>
      </c>
    </row>
    <row r="35" spans="1:1">
      <c r="A35" s="194">
        <v>45509</v>
      </c>
    </row>
    <row r="36" spans="1:1">
      <c r="A36" s="194">
        <v>45510</v>
      </c>
    </row>
    <row r="37" spans="1:1">
      <c r="A37" s="194">
        <v>45511</v>
      </c>
    </row>
    <row r="38" spans="1:1">
      <c r="A38" s="194">
        <v>45512</v>
      </c>
    </row>
    <row r="39" spans="1:1">
      <c r="A39" s="194">
        <v>45513</v>
      </c>
    </row>
    <row r="40" spans="1:1">
      <c r="A40" s="194">
        <v>45514</v>
      </c>
    </row>
    <row r="41" spans="1:1">
      <c r="A41" s="194">
        <v>45515</v>
      </c>
    </row>
    <row r="42" spans="1:1">
      <c r="A42" s="194">
        <v>45516</v>
      </c>
    </row>
    <row r="43" spans="1:1">
      <c r="A43" s="194">
        <v>45517</v>
      </c>
    </row>
    <row r="44" spans="1:1">
      <c r="A44" s="194">
        <v>45518</v>
      </c>
    </row>
    <row r="45" spans="1:1">
      <c r="A45" s="194">
        <v>45519</v>
      </c>
    </row>
    <row r="46" spans="1:1">
      <c r="A46" s="194">
        <v>45520</v>
      </c>
    </row>
    <row r="47" spans="1:1">
      <c r="A47" s="194">
        <v>45521</v>
      </c>
    </row>
    <row r="48" spans="1:1">
      <c r="A48" s="194">
        <v>45522</v>
      </c>
    </row>
    <row r="49" spans="1:1">
      <c r="A49" s="194">
        <v>45523</v>
      </c>
    </row>
    <row r="50" spans="1:1">
      <c r="A50" s="194">
        <v>45524</v>
      </c>
    </row>
    <row r="51" spans="1:1">
      <c r="A51" s="194">
        <v>45525</v>
      </c>
    </row>
    <row r="52" spans="1:1">
      <c r="A52" s="194">
        <v>45526</v>
      </c>
    </row>
    <row r="53" spans="1:1">
      <c r="A53" s="194">
        <v>45527</v>
      </c>
    </row>
    <row r="54" spans="1:1">
      <c r="A54" s="194">
        <v>45528</v>
      </c>
    </row>
    <row r="55" spans="1:1">
      <c r="A55" s="194">
        <v>45529</v>
      </c>
    </row>
    <row r="56" spans="1:1">
      <c r="A56" s="194">
        <v>45530</v>
      </c>
    </row>
    <row r="57" spans="1:1">
      <c r="A57" s="194">
        <v>45531</v>
      </c>
    </row>
    <row r="58" spans="1:1">
      <c r="A58" s="194">
        <v>45532</v>
      </c>
    </row>
    <row r="59" spans="1:1">
      <c r="A59" s="194">
        <v>45533</v>
      </c>
    </row>
    <row r="60" spans="1:1">
      <c r="A60" s="194">
        <v>45534</v>
      </c>
    </row>
    <row r="61" spans="1:1">
      <c r="A61" s="194">
        <v>45535</v>
      </c>
    </row>
    <row r="62" spans="1:1">
      <c r="A62" s="194">
        <v>45536</v>
      </c>
    </row>
    <row r="63" spans="1:1">
      <c r="A63" s="194">
        <v>45537</v>
      </c>
    </row>
    <row r="64" spans="1:1">
      <c r="A64" s="194">
        <v>45538</v>
      </c>
    </row>
    <row r="65" spans="1:1">
      <c r="A65" s="194">
        <v>45539</v>
      </c>
    </row>
    <row r="66" spans="1:1">
      <c r="A66" s="194">
        <v>45540</v>
      </c>
    </row>
    <row r="67" spans="1:1">
      <c r="A67" s="194">
        <v>45541</v>
      </c>
    </row>
    <row r="68" spans="1:1">
      <c r="A68" s="194">
        <v>45542</v>
      </c>
    </row>
    <row r="69" spans="1:1">
      <c r="A69" s="194">
        <v>45543</v>
      </c>
    </row>
    <row r="70" spans="1:1">
      <c r="A70" s="194">
        <v>45544</v>
      </c>
    </row>
    <row r="71" spans="1:1">
      <c r="A71" s="194">
        <v>45545</v>
      </c>
    </row>
    <row r="72" spans="1:1">
      <c r="A72" s="194">
        <v>45546</v>
      </c>
    </row>
    <row r="73" spans="1:1">
      <c r="A73" s="194">
        <v>45547</v>
      </c>
    </row>
    <row r="74" spans="1:1">
      <c r="A74" s="194">
        <v>45548</v>
      </c>
    </row>
    <row r="75" spans="1:1">
      <c r="A75" s="194">
        <v>45549</v>
      </c>
    </row>
    <row r="76" spans="1:1">
      <c r="A76" s="194">
        <v>45550</v>
      </c>
    </row>
    <row r="77" spans="1:1">
      <c r="A77" s="194">
        <v>45551</v>
      </c>
    </row>
    <row r="78" spans="1:1">
      <c r="A78" s="194">
        <v>45552</v>
      </c>
    </row>
    <row r="79" spans="1:1">
      <c r="A79" s="194">
        <v>45553</v>
      </c>
    </row>
    <row r="80" spans="1:1">
      <c r="A80" s="194">
        <v>45554</v>
      </c>
    </row>
    <row r="81" spans="1:1">
      <c r="A81" s="194">
        <v>45555</v>
      </c>
    </row>
    <row r="82" spans="1:1">
      <c r="A82" s="194">
        <v>45556</v>
      </c>
    </row>
    <row r="83" spans="1:1">
      <c r="A83" s="194">
        <v>45557</v>
      </c>
    </row>
    <row r="84" spans="1:1">
      <c r="A84" s="194">
        <v>45558</v>
      </c>
    </row>
    <row r="85" spans="1:1">
      <c r="A85" s="194">
        <v>45559</v>
      </c>
    </row>
    <row r="86" spans="1:1">
      <c r="A86" s="194">
        <v>45560</v>
      </c>
    </row>
    <row r="87" spans="1:1">
      <c r="A87" s="194">
        <v>45561</v>
      </c>
    </row>
    <row r="88" spans="1:1">
      <c r="A88" s="194">
        <v>45562</v>
      </c>
    </row>
    <row r="89" spans="1:1">
      <c r="A89" s="194">
        <v>45563</v>
      </c>
    </row>
    <row r="90" spans="1:1">
      <c r="A90" s="194">
        <v>45564</v>
      </c>
    </row>
    <row r="91" spans="1:1">
      <c r="A91" s="194">
        <v>45565</v>
      </c>
    </row>
    <row r="92" spans="1:1">
      <c r="A92" s="194">
        <v>45566</v>
      </c>
    </row>
    <row r="93" spans="1:1">
      <c r="A93" s="194">
        <v>45567</v>
      </c>
    </row>
    <row r="94" spans="1:1">
      <c r="A94" s="194">
        <v>45568</v>
      </c>
    </row>
    <row r="95" spans="1:1">
      <c r="A95" s="194">
        <v>45569</v>
      </c>
    </row>
    <row r="96" spans="1:1">
      <c r="A96" s="194">
        <v>45570</v>
      </c>
    </row>
    <row r="97" spans="1:1">
      <c r="A97" s="194">
        <v>45571</v>
      </c>
    </row>
    <row r="98" spans="1:1">
      <c r="A98" s="194">
        <v>45572</v>
      </c>
    </row>
    <row r="99" spans="1:1">
      <c r="A99" s="194">
        <v>45573</v>
      </c>
    </row>
    <row r="100" spans="1:1">
      <c r="A100" s="194">
        <v>45574</v>
      </c>
    </row>
    <row r="101" spans="1:1">
      <c r="A101" s="194">
        <v>45575</v>
      </c>
    </row>
    <row r="102" spans="1:1">
      <c r="A102" s="194">
        <v>45576</v>
      </c>
    </row>
    <row r="103" spans="1:1">
      <c r="A103" s="194">
        <v>45577</v>
      </c>
    </row>
    <row r="104" spans="1:1">
      <c r="A104" s="194">
        <v>45578</v>
      </c>
    </row>
    <row r="105" spans="1:1">
      <c r="A105" s="194">
        <v>45579</v>
      </c>
    </row>
    <row r="106" spans="1:1">
      <c r="A106" s="194">
        <v>45580</v>
      </c>
    </row>
    <row r="107" spans="1:1">
      <c r="A107" s="194">
        <v>45581</v>
      </c>
    </row>
    <row r="108" spans="1:1">
      <c r="A108" s="194">
        <v>45582</v>
      </c>
    </row>
    <row r="109" spans="1:1">
      <c r="A109" s="194">
        <v>45583</v>
      </c>
    </row>
    <row r="110" spans="1:1">
      <c r="A110" s="194">
        <v>45584</v>
      </c>
    </row>
    <row r="111" spans="1:1">
      <c r="A111" s="194">
        <v>45585</v>
      </c>
    </row>
    <row r="112" spans="1:1">
      <c r="A112" s="194">
        <v>45586</v>
      </c>
    </row>
  </sheetData>
  <mergeCells count="1">
    <mergeCell ref="A1:N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
  <sheetViews>
    <sheetView zoomScale="85" zoomScaleNormal="85" workbookViewId="0">
      <pane ySplit="1" topLeftCell="A2" activePane="bottomLeft" state="frozen"/>
      <selection/>
      <selection pane="bottomLeft" activeCell="A2" sqref="A2:I2"/>
    </sheetView>
  </sheetViews>
  <sheetFormatPr defaultColWidth="9.81818181818182" defaultRowHeight="15"/>
  <cols>
    <col min="1" max="1" width="10.2727272727273" style="139" customWidth="1"/>
    <col min="2" max="2" width="11.9090909090909" style="139" customWidth="1"/>
    <col min="3" max="3" width="19.0909090909091" style="139" customWidth="1"/>
    <col min="4" max="4" width="18.4090909090909" style="139" customWidth="1"/>
    <col min="5" max="5" width="20.8" style="139" customWidth="1"/>
    <col min="6" max="6" width="20.9090909090909" style="139" customWidth="1"/>
    <col min="7" max="7" width="26.8" style="139" customWidth="1"/>
    <col min="8" max="8" width="18.5454545454545" style="139" customWidth="1"/>
    <col min="9" max="9" width="19.4545454545455" style="139" customWidth="1"/>
    <col min="10" max="11" width="11.8636363636364" style="139" customWidth="1"/>
    <col min="12" max="12" width="10.2272727272727" style="139"/>
    <col min="13" max="13" width="13.7727272727273" style="139"/>
    <col min="14" max="14" width="9.81818181818182" style="139"/>
    <col min="15" max="15" width="13.7727272727273" style="139"/>
    <col min="16" max="16384" width="9.81818181818182" style="139"/>
  </cols>
  <sheetData>
    <row r="1" ht="26" customHeight="1" spans="1:9">
      <c r="A1" s="140">
        <v>45573</v>
      </c>
      <c r="B1" s="141"/>
      <c r="C1" s="141"/>
      <c r="D1" s="141"/>
      <c r="E1" s="141"/>
      <c r="F1" s="141"/>
      <c r="G1" s="141"/>
      <c r="H1" s="141"/>
      <c r="I1" s="141"/>
    </row>
    <row r="2" ht="69" customHeight="1" spans="1:9">
      <c r="A2" s="142" t="s">
        <v>144</v>
      </c>
      <c r="B2" s="143"/>
      <c r="C2" s="143"/>
      <c r="D2" s="143"/>
      <c r="E2" s="143"/>
      <c r="F2" s="143"/>
      <c r="G2" s="143"/>
      <c r="H2" s="143"/>
      <c r="I2" s="143"/>
    </row>
    <row r="3" ht="24" customHeight="1" spans="1:9">
      <c r="A3" s="144" t="s">
        <v>26</v>
      </c>
      <c r="B3" s="145">
        <f>D5</f>
        <v>75685.47</v>
      </c>
      <c r="C3" s="144" t="s">
        <v>145</v>
      </c>
      <c r="D3" s="146">
        <f>E5</f>
        <v>110394.37</v>
      </c>
      <c r="E3" s="144" t="s">
        <v>146</v>
      </c>
      <c r="F3" s="147">
        <f>H19+E31+E33+E35</f>
        <v>242</v>
      </c>
      <c r="G3" s="144" t="s">
        <v>147</v>
      </c>
      <c r="H3" s="148">
        <f>VLOOKUP(A1,每日转化数据!$B:$AE,4,FALSE)</f>
        <v>18</v>
      </c>
      <c r="I3" s="148"/>
    </row>
    <row r="4" ht="21" customHeight="1" spans="1:9">
      <c r="A4" s="149" t="s">
        <v>148</v>
      </c>
      <c r="B4" s="149"/>
      <c r="C4" s="149"/>
      <c r="D4" s="49" t="s">
        <v>26</v>
      </c>
      <c r="E4" s="49" t="s">
        <v>145</v>
      </c>
      <c r="F4" s="49" t="s">
        <v>149</v>
      </c>
      <c r="G4" s="49" t="s">
        <v>150</v>
      </c>
      <c r="H4" s="49" t="s">
        <v>114</v>
      </c>
      <c r="I4" s="49"/>
    </row>
    <row r="5" s="137" customFormat="1" ht="21" customHeight="1" spans="1:9">
      <c r="A5" s="149"/>
      <c r="B5" s="149"/>
      <c r="C5" s="149"/>
      <c r="D5" s="18">
        <f>VLOOKUP(A1,每日转化数据!$B:$AE,5,FALSE)</f>
        <v>75685.47</v>
      </c>
      <c r="E5" s="18">
        <f>VLOOKUP(A1,每日转化数据!$B:$AE,3,FALSE)</f>
        <v>110394.37</v>
      </c>
      <c r="F5" s="150">
        <f>E5/D5</f>
        <v>1.45859396790428</v>
      </c>
      <c r="G5" s="18">
        <f>VLOOKUP(A1,每日转化数据!$B:$AE,9,FALSE)</f>
        <v>7912.86</v>
      </c>
      <c r="H5" s="151">
        <f>VLOOKUP(A1,推广数据统计!$A:$BH,30,FALSE)</f>
        <v>0</v>
      </c>
      <c r="I5" s="152"/>
    </row>
    <row r="6" s="137" customFormat="1" ht="21" customHeight="1" spans="1:9">
      <c r="A6" s="149"/>
      <c r="B6" s="149"/>
      <c r="C6" s="149"/>
      <c r="D6" s="49" t="s">
        <v>151</v>
      </c>
      <c r="E6" s="49" t="s">
        <v>152</v>
      </c>
      <c r="F6" s="49" t="s">
        <v>153</v>
      </c>
      <c r="G6" s="49" t="s">
        <v>154</v>
      </c>
      <c r="H6" s="49" t="s">
        <v>155</v>
      </c>
      <c r="I6" s="49"/>
    </row>
    <row r="7" s="137" customFormat="1" ht="21" customHeight="1" spans="1:9">
      <c r="A7" s="149"/>
      <c r="B7" s="149"/>
      <c r="C7" s="149"/>
      <c r="D7" s="153">
        <f>VLOOKUP(A1,每日转化数据!$B:$AE,11,FALSE)</f>
        <v>0.07167811184574</v>
      </c>
      <c r="E7" s="18">
        <f>VLOOKUP(A1,每日转化数据!$B:$AE,10,FALSE)</f>
        <v>102481.51</v>
      </c>
      <c r="F7" s="18">
        <f>VLOOKUP(A1,每日转化数据!$B:$AE,8,FALSE)</f>
        <v>48000</v>
      </c>
      <c r="G7" s="154">
        <f>D5/F7</f>
        <v>1.576780625</v>
      </c>
      <c r="H7" s="155">
        <f>E7/D5</f>
        <v>1.35404470633531</v>
      </c>
      <c r="I7" s="156"/>
    </row>
    <row r="8" s="137" customFormat="1" ht="21" customHeight="1" spans="1:9">
      <c r="A8" s="149"/>
      <c r="B8" s="149"/>
      <c r="C8" s="149"/>
      <c r="D8" s="49" t="s">
        <v>156</v>
      </c>
      <c r="E8" s="49" t="s">
        <v>157</v>
      </c>
      <c r="F8" s="49" t="s">
        <v>158</v>
      </c>
      <c r="G8" s="49" t="s">
        <v>159</v>
      </c>
      <c r="H8" s="157"/>
      <c r="I8" s="158"/>
    </row>
    <row r="9" s="137" customFormat="1" ht="21" customHeight="1" spans="1:9">
      <c r="A9" s="149"/>
      <c r="B9" s="149"/>
      <c r="C9" s="149"/>
      <c r="D9" s="159">
        <f>D13</f>
        <v>75685.47</v>
      </c>
      <c r="E9" s="160">
        <f>E13</f>
        <v>73734.51</v>
      </c>
      <c r="F9" s="160">
        <f>D15</f>
        <v>1.34</v>
      </c>
      <c r="G9" s="159">
        <f>F13</f>
        <v>27677.06</v>
      </c>
      <c r="H9" s="157"/>
      <c r="I9" s="158"/>
    </row>
    <row r="10" s="137" customFormat="1" ht="21" customHeight="1" spans="1:9">
      <c r="A10" s="149"/>
      <c r="B10" s="149"/>
      <c r="C10" s="149"/>
      <c r="D10" s="49" t="s">
        <v>160</v>
      </c>
      <c r="E10" s="49" t="s">
        <v>161</v>
      </c>
      <c r="F10" s="49" t="s">
        <v>162</v>
      </c>
      <c r="G10" s="49" t="s">
        <v>163</v>
      </c>
      <c r="H10" s="157"/>
      <c r="I10" s="158"/>
    </row>
    <row r="11" s="137" customFormat="1" ht="21" customHeight="1" spans="1:9">
      <c r="A11" s="149"/>
      <c r="B11" s="149"/>
      <c r="C11" s="149"/>
      <c r="D11" s="18">
        <f>E5-G13</f>
        <v>8982.8</v>
      </c>
      <c r="E11" s="15">
        <f>D11/E5</f>
        <v>0.0813700916088384</v>
      </c>
      <c r="F11" s="15">
        <f>H13</f>
        <v>0.272918169001821</v>
      </c>
      <c r="G11" s="15">
        <f>G13/E5</f>
        <v>0.918629908391162</v>
      </c>
      <c r="H11" s="161"/>
      <c r="I11" s="162"/>
    </row>
    <row r="12" ht="23" customHeight="1" spans="1:9">
      <c r="A12" s="163" t="s">
        <v>164</v>
      </c>
      <c r="B12" s="163" t="s">
        <v>165</v>
      </c>
      <c r="C12" s="149" t="s">
        <v>166</v>
      </c>
      <c r="D12" s="49" t="s">
        <v>156</v>
      </c>
      <c r="E12" s="49" t="s">
        <v>167</v>
      </c>
      <c r="F12" s="49" t="s">
        <v>168</v>
      </c>
      <c r="G12" s="49" t="s">
        <v>169</v>
      </c>
      <c r="H12" s="49" t="s">
        <v>170</v>
      </c>
      <c r="I12" s="49"/>
    </row>
    <row r="13" ht="23" customHeight="1" spans="1:9">
      <c r="A13" s="163"/>
      <c r="B13" s="163"/>
      <c r="C13" s="149"/>
      <c r="D13" s="18">
        <f>VLOOKUP(A1,推广数据统计!$A:$BH,2,FALSE)</f>
        <v>75685.47</v>
      </c>
      <c r="E13" s="18">
        <f>VLOOKUP(A1,推广数据统计!$A:$BH,11,FALSE)</f>
        <v>73734.51</v>
      </c>
      <c r="F13" s="18">
        <f>VLOOKUP(A1,推广数据统计!$A:$BH,12,FALSE)</f>
        <v>27677.06</v>
      </c>
      <c r="G13" s="18">
        <f>E13+F13</f>
        <v>101411.57</v>
      </c>
      <c r="H13" s="164">
        <f>F13/G13</f>
        <v>0.272918169001821</v>
      </c>
      <c r="I13" s="164"/>
    </row>
    <row r="14" ht="23" customHeight="1" spans="1:9">
      <c r="A14" s="163"/>
      <c r="B14" s="163"/>
      <c r="C14" s="149"/>
      <c r="D14" s="49" t="s">
        <v>158</v>
      </c>
      <c r="E14" s="49" t="s">
        <v>171</v>
      </c>
      <c r="F14" s="49" t="s">
        <v>172</v>
      </c>
      <c r="G14" s="49" t="s">
        <v>173</v>
      </c>
      <c r="H14" s="164"/>
      <c r="I14" s="164"/>
    </row>
    <row r="15" ht="23" customHeight="1" spans="1:9">
      <c r="A15" s="163"/>
      <c r="B15" s="163"/>
      <c r="C15" s="149"/>
      <c r="D15" s="17">
        <f>VLOOKUP(A1,推广数据统计!$A:$BH,13,FALSE)</f>
        <v>1.34</v>
      </c>
      <c r="E15" s="165">
        <f>(1-F15)*G13</f>
        <v>90530.108539</v>
      </c>
      <c r="F15" s="166">
        <f>VLOOKUP(A1,推广数据统计!$A:$BH,24,FALSE)</f>
        <v>0.1073</v>
      </c>
      <c r="G15" s="17">
        <f>VLOOKUP(A1,推广数据统计!$A:$BH,26,FALSE)</f>
        <v>1.2</v>
      </c>
      <c r="H15" s="164"/>
      <c r="I15" s="164"/>
    </row>
    <row r="16" ht="23" customHeight="1" spans="1:9">
      <c r="A16" s="163"/>
      <c r="B16" s="163"/>
      <c r="C16" s="149" t="s">
        <v>174</v>
      </c>
      <c r="D16" s="49" t="s">
        <v>90</v>
      </c>
      <c r="E16" s="49" t="s">
        <v>5</v>
      </c>
      <c r="F16" s="49" t="s">
        <v>91</v>
      </c>
      <c r="G16" s="49" t="s">
        <v>9</v>
      </c>
      <c r="H16" s="49" t="s">
        <v>92</v>
      </c>
      <c r="I16" s="49" t="s">
        <v>100</v>
      </c>
    </row>
    <row r="17" ht="23" customHeight="1" spans="1:10">
      <c r="A17" s="163"/>
      <c r="B17" s="163"/>
      <c r="C17" s="149"/>
      <c r="D17" s="18">
        <f>VLOOKUP(A1,推广数据统计!$A:$BH,3,FALSE)</f>
        <v>798812</v>
      </c>
      <c r="E17" s="27">
        <f>VLOOKUP(A1,推广数据统计!$A:$BH,4,FALSE)</f>
        <v>0.0669</v>
      </c>
      <c r="F17" s="18">
        <f>VLOOKUP(A1,推广数据统计!$A:$BH,5,FALSE)</f>
        <v>53425</v>
      </c>
      <c r="G17" s="17">
        <f>VLOOKUP(A1,推广数据统计!$A:$BH,14,FALSE)</f>
        <v>1.42</v>
      </c>
      <c r="H17" s="17">
        <f>VLOOKUP(A1,推广数据统计!$A:$BH,6,FALSE)</f>
        <v>94.75</v>
      </c>
      <c r="I17" s="17">
        <f>VLOOKUP(A1,推广数据统计!$A:$BH,15,FALSE)</f>
        <v>1389</v>
      </c>
    </row>
    <row r="18" ht="23" customHeight="1" spans="1:10">
      <c r="A18" s="163"/>
      <c r="B18" s="163"/>
      <c r="C18" s="149"/>
      <c r="D18" s="49" t="s">
        <v>96</v>
      </c>
      <c r="E18" s="49" t="s">
        <v>11</v>
      </c>
      <c r="F18" s="49" t="s">
        <v>101</v>
      </c>
      <c r="G18" s="49" t="s">
        <v>102</v>
      </c>
      <c r="H18" s="49" t="s">
        <v>175</v>
      </c>
      <c r="I18" s="49" t="s">
        <v>103</v>
      </c>
    </row>
    <row r="19" ht="23" customHeight="1" spans="1:10">
      <c r="A19" s="163"/>
      <c r="B19" s="163"/>
      <c r="C19" s="149"/>
      <c r="D19" s="17">
        <f>VLOOKUP(A1,推广数据统计!$A:$BH,10,FALSE)</f>
        <v>1395</v>
      </c>
      <c r="E19" s="27">
        <f>VLOOKUP(A1,推广数据统计!$A:$BH,16,FALSE)</f>
        <v>0.026</v>
      </c>
      <c r="F19" s="17">
        <f>VLOOKUP(A1,推广数据统计!$A:$BH,17,FALSE)</f>
        <v>54.49</v>
      </c>
      <c r="G19" s="17">
        <f>VLOOKUP(A1,推广数据统计!$A:$BH,18,FALSE)</f>
        <v>52.86</v>
      </c>
      <c r="H19" s="17">
        <f>VLOOKUP(A1,推广数据统计!$A:$BH,28,FALSE)</f>
        <v>242</v>
      </c>
      <c r="I19" s="18">
        <f>VLOOKUP(A1,推广数据统计!$A:$BH,19,FALSE)</f>
        <v>59565</v>
      </c>
    </row>
    <row r="20" ht="21" customHeight="1" spans="1:10">
      <c r="A20" s="163"/>
      <c r="B20" s="163"/>
      <c r="C20" s="149" t="s">
        <v>176</v>
      </c>
      <c r="D20" s="167" t="s">
        <v>115</v>
      </c>
      <c r="E20" s="167" t="s">
        <v>116</v>
      </c>
      <c r="F20" s="49" t="s">
        <v>9</v>
      </c>
      <c r="G20" s="49" t="s">
        <v>17</v>
      </c>
      <c r="H20" s="49" t="s">
        <v>177</v>
      </c>
      <c r="I20" s="49" t="s">
        <v>178</v>
      </c>
    </row>
    <row r="21" ht="21" customHeight="1" spans="1:10">
      <c r="A21" s="163"/>
      <c r="B21" s="163"/>
      <c r="C21" s="149"/>
      <c r="D21" s="168">
        <f>VLOOKUP(A1,推广数据统计!$A:$BH,32,FALSE)</f>
        <v>0.0947475375933261</v>
      </c>
      <c r="E21" s="168">
        <f>VLOOKUP(A1,推广数据统计!$A:$BH,33,FALSE)</f>
        <v>1.2706366154621</v>
      </c>
      <c r="F21" s="169">
        <f>VLOOKUP(A1,推广数据统计!$A:$BH,14,FALSE)</f>
        <v>1.42</v>
      </c>
      <c r="G21" s="170">
        <f>VLOOKUP(A1,推广数据统计!$A:$BH,35,FALSE)</f>
        <v>0.0745669819682228</v>
      </c>
      <c r="H21" s="171">
        <f>$D$13/$H$3</f>
        <v>4204.74833333333</v>
      </c>
      <c r="I21" s="172">
        <f>$E$5/$H$3</f>
        <v>6133.02055555555</v>
      </c>
    </row>
    <row r="22" ht="21" customHeight="1" spans="1:10">
      <c r="A22" s="163"/>
      <c r="B22" s="163"/>
      <c r="C22" s="149"/>
      <c r="D22" s="49" t="s">
        <v>101</v>
      </c>
      <c r="E22" s="49" t="s">
        <v>7</v>
      </c>
      <c r="F22" s="49" t="s">
        <v>179</v>
      </c>
      <c r="G22" s="170"/>
      <c r="H22" s="171"/>
      <c r="I22" s="173"/>
    </row>
    <row r="23" ht="21" customHeight="1" spans="1:10">
      <c r="A23" s="163"/>
      <c r="B23" s="163"/>
      <c r="C23" s="149"/>
      <c r="D23" s="17">
        <f>VLOOKUP(A1,推广数据统计!$A:$BH,17,FALSE)</f>
        <v>54.49</v>
      </c>
      <c r="E23" s="17">
        <f>VLOOKUP(A1,推广数据统计!$A:$BH,6,FALSE)</f>
        <v>94.75</v>
      </c>
      <c r="F23" s="150">
        <f>G13/I19</f>
        <v>1.70253622093511</v>
      </c>
      <c r="G23" s="170"/>
      <c r="H23" s="171"/>
      <c r="I23" s="174"/>
    </row>
    <row r="24" ht="31" customHeight="1" spans="1:10">
      <c r="A24" s="163"/>
      <c r="B24" s="163"/>
      <c r="C24" s="149" t="s">
        <v>180</v>
      </c>
      <c r="D24" s="49" t="s">
        <v>120</v>
      </c>
      <c r="E24" s="49" t="s">
        <v>122</v>
      </c>
      <c r="F24" s="49" t="s">
        <v>121</v>
      </c>
      <c r="G24" s="49" t="s">
        <v>123</v>
      </c>
      <c r="H24" s="49" t="s">
        <v>124</v>
      </c>
      <c r="I24" s="49" t="s">
        <v>125</v>
      </c>
    </row>
    <row r="25" ht="21" customHeight="1" spans="1:10">
      <c r="A25" s="163"/>
      <c r="B25" s="163"/>
      <c r="C25" s="149"/>
      <c r="D25" s="17">
        <f>VLOOKUP(A1,推广数据统计!$A:$BH,38,FALSE)</f>
        <v>0</v>
      </c>
      <c r="E25" s="17">
        <f>VLOOKUP(A1,推广数据统计!$A:$BH,40,FALSE)</f>
        <v>0</v>
      </c>
      <c r="F25" s="17">
        <f>VLOOKUP(A1,推广数据统计!$A:$BH,39,FALSE)</f>
        <v>0</v>
      </c>
      <c r="G25" s="17">
        <f>VLOOKUP(A1,推广数据统计!$A:$BH,41,FALSE)</f>
        <v>0</v>
      </c>
      <c r="H25" s="17">
        <f>VLOOKUP(A1,推广数据统计!$A:$BH,42,FALSE)</f>
        <v>0</v>
      </c>
      <c r="I25" s="17">
        <f>VLOOKUP(A1,推广数据统计!$A:$BH,43,FALSE)</f>
        <v>0</v>
      </c>
      <c r="J25" s="175"/>
    </row>
    <row r="26" ht="29" hidden="1" customHeight="1" spans="1:10">
      <c r="A26" s="163"/>
      <c r="B26" s="163"/>
      <c r="C26" s="163" t="s">
        <v>181</v>
      </c>
      <c r="D26" s="99" t="s">
        <v>137</v>
      </c>
      <c r="E26" s="176">
        <f>VLOOKUP(A1,新老客销售数据!$A:$N,9,FALSE)</f>
        <v>0</v>
      </c>
      <c r="F26" s="99" t="s">
        <v>139</v>
      </c>
      <c r="G26" s="176">
        <f>VLOOKUP(A1,新老客销售数据!$A:$N,11,FALSE)</f>
        <v>0</v>
      </c>
      <c r="H26" s="99" t="s">
        <v>141</v>
      </c>
      <c r="I26" s="176">
        <f>VLOOKUP(A1,新老客销售数据!$A:$N,13,FALSE)</f>
        <v>0</v>
      </c>
      <c r="J26" s="175"/>
    </row>
    <row r="27" ht="29" hidden="1" spans="1:10">
      <c r="A27" s="163"/>
      <c r="B27" s="163"/>
      <c r="C27" s="163"/>
      <c r="D27" s="99" t="s">
        <v>138</v>
      </c>
      <c r="E27" s="176">
        <f>VLOOKUP(A1,新老客销售数据!$A:$N,10,FALSE)</f>
        <v>0</v>
      </c>
      <c r="F27" s="99" t="s">
        <v>140</v>
      </c>
      <c r="G27" s="176">
        <f>VLOOKUP(A1,新老客销售数据!$A:$N,12,FALSE)</f>
        <v>0</v>
      </c>
      <c r="H27" s="99" t="s">
        <v>142</v>
      </c>
      <c r="I27" s="176">
        <f>VLOOKUP(A1,新老客销售数据!$A:$N,14,FALSE)</f>
        <v>0</v>
      </c>
      <c r="J27" s="175"/>
    </row>
    <row r="28" ht="21" hidden="1" customHeight="1" spans="1:10">
      <c r="A28" s="163"/>
      <c r="B28" s="163" t="s">
        <v>182</v>
      </c>
      <c r="C28" s="163"/>
      <c r="D28" s="99" t="s">
        <v>126</v>
      </c>
      <c r="E28" s="99" t="s">
        <v>183</v>
      </c>
      <c r="F28" s="99" t="s">
        <v>184</v>
      </c>
      <c r="G28" s="177"/>
      <c r="H28" s="177"/>
      <c r="I28" s="177"/>
    </row>
    <row r="29" ht="21" hidden="1" customHeight="1" spans="1:10">
      <c r="A29" s="163"/>
      <c r="B29" s="163"/>
      <c r="C29" s="163"/>
      <c r="D29" s="176">
        <f>VLOOKUP(A1,推广数据统计!$A:$BH,44,FALSE)</f>
        <v>0</v>
      </c>
      <c r="E29" s="176">
        <f>VLOOKUP(A1,推广数据统计!$A:$BH,47,FALSE)</f>
        <v>0</v>
      </c>
      <c r="F29" s="176">
        <f>VLOOKUP(A1,推广数据统计!$A:$BH,48,FALSE)</f>
        <v>0</v>
      </c>
      <c r="G29" s="177"/>
      <c r="H29" s="177"/>
      <c r="I29" s="177"/>
    </row>
    <row r="30" ht="21" hidden="1" customHeight="1" spans="1:10">
      <c r="A30" s="163"/>
      <c r="B30" s="163" t="s">
        <v>85</v>
      </c>
      <c r="C30" s="163"/>
      <c r="D30" s="99" t="s">
        <v>126</v>
      </c>
      <c r="E30" s="99" t="s">
        <v>185</v>
      </c>
      <c r="F30" s="99" t="s">
        <v>113</v>
      </c>
      <c r="G30" s="177"/>
      <c r="H30" s="177"/>
      <c r="I30" s="177"/>
    </row>
    <row r="31" ht="21" hidden="1" customHeight="1" spans="1:10">
      <c r="A31" s="163"/>
      <c r="B31" s="163"/>
      <c r="C31" s="163"/>
      <c r="D31" s="176">
        <f>VLOOKUP(A1,推广数据统计!$A:$BH,41,FALSE)</f>
        <v>0</v>
      </c>
      <c r="E31" s="176">
        <f>VLOOKUP(A1,推广数据统计!$A:$BH,42,FALSE)</f>
        <v>0</v>
      </c>
      <c r="F31" s="176">
        <f>VLOOKUP(A1,推广数据统计!$A:$BH,43,FALSE)</f>
        <v>0</v>
      </c>
      <c r="G31" s="177"/>
      <c r="H31" s="177"/>
      <c r="I31" s="177"/>
    </row>
    <row r="32" ht="21" hidden="1" customHeight="1" spans="1:10">
      <c r="A32" s="163"/>
      <c r="B32" s="163" t="s">
        <v>186</v>
      </c>
      <c r="C32" s="163"/>
      <c r="D32" s="99" t="s">
        <v>126</v>
      </c>
      <c r="E32" s="99" t="s">
        <v>185</v>
      </c>
      <c r="F32" s="99" t="s">
        <v>113</v>
      </c>
      <c r="G32" s="177"/>
      <c r="H32" s="177"/>
      <c r="I32" s="177"/>
    </row>
    <row r="33" ht="21" hidden="1" customHeight="1" spans="1:10">
      <c r="A33" s="163"/>
      <c r="B33" s="163"/>
      <c r="C33" s="163"/>
      <c r="D33" s="176">
        <f>VLOOKUP(A1,推广数据统计!$A:$BH,54,FALSE)</f>
        <v>0</v>
      </c>
      <c r="E33" s="176">
        <f>VLOOKUP(A1,推广数据统计!$A:$BH,55,FALSE)</f>
        <v>0</v>
      </c>
      <c r="F33" s="176">
        <f>VLOOKUP(A1,推广数据统计!$A:$BH,56,FALSE)</f>
        <v>0</v>
      </c>
      <c r="G33" s="177"/>
      <c r="H33" s="177"/>
      <c r="I33" s="177"/>
    </row>
    <row r="34" ht="21" hidden="1" customHeight="1" spans="1:10">
      <c r="A34" s="163"/>
      <c r="B34" s="163" t="s">
        <v>87</v>
      </c>
      <c r="C34" s="163"/>
      <c r="D34" s="99" t="s">
        <v>126</v>
      </c>
      <c r="E34" s="99" t="s">
        <v>185</v>
      </c>
      <c r="F34" s="99" t="s">
        <v>113</v>
      </c>
      <c r="G34" s="177"/>
      <c r="H34" s="177"/>
      <c r="I34" s="177"/>
    </row>
    <row r="35" ht="21" hidden="1" customHeight="1" spans="1:10">
      <c r="A35" s="163"/>
      <c r="B35" s="163"/>
      <c r="C35" s="163"/>
      <c r="D35" s="176">
        <f>VLOOKUP(A1,推广数据统计!$A:$BH,49,FALSE)</f>
        <v>0</v>
      </c>
      <c r="E35" s="176">
        <f>VLOOKUP(A1,推广数据统计!$A:$BH,50,FALSE)</f>
        <v>0</v>
      </c>
      <c r="F35" s="176">
        <f>VLOOKUP(A1,推广数据统计!$A:$BH,51,FALSE)</f>
        <v>0</v>
      </c>
      <c r="G35" s="177"/>
      <c r="H35" s="177"/>
      <c r="I35" s="177"/>
    </row>
    <row r="36" ht="21" hidden="1" customHeight="1" spans="1:10">
      <c r="A36" s="163" t="s">
        <v>187</v>
      </c>
      <c r="B36" s="163"/>
      <c r="C36" s="163"/>
      <c r="D36" s="49" t="s">
        <v>188</v>
      </c>
      <c r="E36" s="49" t="s">
        <v>189</v>
      </c>
      <c r="F36" s="49" t="s">
        <v>190</v>
      </c>
      <c r="G36" s="49" t="s">
        <v>191</v>
      </c>
      <c r="H36" s="78" t="s">
        <v>192</v>
      </c>
      <c r="I36" s="79"/>
    </row>
    <row r="37" ht="16.5" hidden="1" spans="1:10">
      <c r="A37" s="163"/>
      <c r="B37" s="163"/>
      <c r="C37" s="163"/>
      <c r="D37" s="178">
        <f>VLOOKUP(A1,每日转化数据!$B:$AE,12,FALSE)</f>
        <v>0.1351</v>
      </c>
      <c r="E37" s="178">
        <f>VLOOKUP(A1,每日转化数据!$B:$AE,16,FALSE)</f>
        <v>0.7057</v>
      </c>
      <c r="F37" s="178">
        <f>VLOOKUP(A1,每日转化数据!$B:$AE,13,FALSE)</f>
        <v>0.1123</v>
      </c>
      <c r="G37" s="178">
        <f>VLOOKUP(A1,每日转化数据!$B:$AE,17,FALSE)</f>
        <v>0.889</v>
      </c>
      <c r="H37" s="179">
        <f>E37/D37</f>
        <v>5.22353811991118</v>
      </c>
      <c r="I37" s="180"/>
    </row>
    <row r="38" ht="16.5" spans="1:10">
      <c r="A38" s="163" t="s">
        <v>193</v>
      </c>
      <c r="B38" s="163"/>
      <c r="C38" s="163"/>
      <c r="D38" s="49" t="s">
        <v>194</v>
      </c>
      <c r="E38" s="49" t="s">
        <v>195</v>
      </c>
      <c r="F38" s="49" t="s">
        <v>196</v>
      </c>
      <c r="G38" s="49" t="s">
        <v>197</v>
      </c>
      <c r="H38" s="181"/>
      <c r="I38" s="49" t="s">
        <v>198</v>
      </c>
    </row>
    <row r="39" s="138" customFormat="1" ht="21.5" customHeight="1" spans="1:10">
      <c r="A39" s="163"/>
      <c r="B39" s="163"/>
      <c r="C39" s="163"/>
      <c r="D39" s="182">
        <v>10000000</v>
      </c>
      <c r="E39" s="182">
        <f>SUM(每日转化数据!D92:D122)</f>
        <v>4548868.22</v>
      </c>
      <c r="F39" s="182">
        <f>D39-E39</f>
        <v>5451131.78</v>
      </c>
      <c r="G39" s="179">
        <f>E39/D39</f>
        <v>0.454886822</v>
      </c>
      <c r="H39" s="180"/>
      <c r="I39" s="183">
        <f>F39/(30-10)</f>
        <v>272556.589</v>
      </c>
      <c r="J39" s="184"/>
    </row>
    <row r="40" spans="1:10">
      <c r="D40"/>
    </row>
    <row r="41" spans="1:10">
      <c r="D41"/>
      <c r="E41"/>
    </row>
    <row r="43" spans="1:10">
      <c r="D43"/>
    </row>
  </sheetData>
  <mergeCells count="31">
    <mergeCell ref="A1:I1"/>
    <mergeCell ref="A2:I2"/>
    <mergeCell ref="H3:I3"/>
    <mergeCell ref="H4:I4"/>
    <mergeCell ref="H5:I5"/>
    <mergeCell ref="H6:I6"/>
    <mergeCell ref="H12:I12"/>
    <mergeCell ref="H36:I36"/>
    <mergeCell ref="H37:I37"/>
    <mergeCell ref="G38:H38"/>
    <mergeCell ref="G39:H39"/>
    <mergeCell ref="A12:A35"/>
    <mergeCell ref="B12:B27"/>
    <mergeCell ref="C12:C15"/>
    <mergeCell ref="C16:C19"/>
    <mergeCell ref="C20:C23"/>
    <mergeCell ref="C24:C25"/>
    <mergeCell ref="C26:C27"/>
    <mergeCell ref="G21:G23"/>
    <mergeCell ref="H21:H23"/>
    <mergeCell ref="I21:I23"/>
    <mergeCell ref="A4:C11"/>
    <mergeCell ref="H13:I15"/>
    <mergeCell ref="B28:C29"/>
    <mergeCell ref="B30:C31"/>
    <mergeCell ref="B32:C33"/>
    <mergeCell ref="B34:C35"/>
    <mergeCell ref="G28:I35"/>
    <mergeCell ref="A36:C37"/>
    <mergeCell ref="A38:C39"/>
    <mergeCell ref="H7:I1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13"/>
  <sheetViews>
    <sheetView zoomScale="85" zoomScaleNormal="85" workbookViewId="0">
      <selection activeCell="I21" sqref="I21:I22"/>
    </sheetView>
  </sheetViews>
  <sheetFormatPr defaultColWidth="8.72727272727273" defaultRowHeight="14"/>
  <cols>
    <col min="2" max="2" width="9.82727272727273" customWidth="1"/>
    <col min="3" max="3" width="9.09090909090909" customWidth="1"/>
    <col min="5" max="5" width="10.2636363636364" customWidth="1"/>
    <col min="6" max="6" width="11.6545454545455" customWidth="1"/>
    <col min="7" max="7" width="13.1454545454545" customWidth="1"/>
    <col min="9" max="10" width="9.4" customWidth="1"/>
    <col min="11" max="11" width="12.1909090909091" customWidth="1"/>
    <col min="12" max="12" width="13.1454545454545" customWidth="1"/>
    <col min="13" max="13" width="12.8272727272727" customWidth="1"/>
    <col min="14" max="14" width="12.4" customWidth="1"/>
    <col min="17" max="17" width="14.5454545454545" customWidth="1"/>
    <col min="18" max="18" width="13.8" customWidth="1"/>
    <col min="19" max="19" width="11.6545454545455" customWidth="1"/>
  </cols>
  <sheetData>
    <row r="1" ht="34" customHeight="1" spans="1:24">
      <c r="A1" s="49" t="s">
        <v>22</v>
      </c>
      <c r="B1" s="49" t="s">
        <v>199</v>
      </c>
      <c r="C1" s="49" t="s">
        <v>89</v>
      </c>
      <c r="D1" s="49" t="s">
        <v>5</v>
      </c>
      <c r="E1" s="49" t="s">
        <v>91</v>
      </c>
      <c r="F1" s="49" t="s">
        <v>9</v>
      </c>
      <c r="G1" s="49" t="s">
        <v>92</v>
      </c>
      <c r="H1" s="49" t="s">
        <v>100</v>
      </c>
      <c r="I1" s="49" t="s">
        <v>96</v>
      </c>
      <c r="J1" s="49" t="s">
        <v>11</v>
      </c>
      <c r="K1" s="49" t="s">
        <v>101</v>
      </c>
      <c r="L1" s="49" t="s">
        <v>102</v>
      </c>
      <c r="M1" s="49" t="s">
        <v>200</v>
      </c>
      <c r="N1" s="49" t="s">
        <v>201</v>
      </c>
      <c r="O1" s="49" t="s">
        <v>145</v>
      </c>
      <c r="P1" s="49" t="s">
        <v>202</v>
      </c>
      <c r="Q1" s="49" t="s">
        <v>115</v>
      </c>
      <c r="R1" s="49" t="s">
        <v>116</v>
      </c>
      <c r="S1" s="49" t="s">
        <v>9</v>
      </c>
      <c r="T1" s="99" t="s">
        <v>101</v>
      </c>
      <c r="U1" s="99" t="s">
        <v>7</v>
      </c>
      <c r="V1" s="99" t="s">
        <v>42</v>
      </c>
      <c r="W1" s="99" t="s">
        <v>103</v>
      </c>
      <c r="X1" s="99" t="s">
        <v>175</v>
      </c>
    </row>
    <row r="2" spans="1:24">
      <c r="A2">
        <v>7.15</v>
      </c>
      <c r="B2" t="s">
        <v>203</v>
      </c>
    </row>
    <row r="3" spans="1:24">
      <c r="A3">
        <v>8.1</v>
      </c>
      <c r="B3" t="s">
        <v>203</v>
      </c>
    </row>
    <row r="4" spans="1:24">
      <c r="A4">
        <v>8.7</v>
      </c>
      <c r="B4" t="s">
        <v>204</v>
      </c>
    </row>
    <row r="5" spans="1:24">
      <c r="A5">
        <v>9.15</v>
      </c>
      <c r="B5" t="s">
        <v>203</v>
      </c>
    </row>
    <row r="6" spans="1:24">
      <c r="A6">
        <v>10.17</v>
      </c>
      <c r="B6" t="s">
        <v>204</v>
      </c>
    </row>
    <row r="7" spans="1:24">
      <c r="A7" s="111">
        <v>11.1</v>
      </c>
      <c r="B7" s="94" t="s">
        <v>205</v>
      </c>
    </row>
    <row r="8" spans="1:24">
      <c r="A8">
        <v>11.11</v>
      </c>
      <c r="B8" s="94"/>
    </row>
    <row r="9" spans="1:24">
      <c r="A9">
        <v>11.12</v>
      </c>
      <c r="B9" s="94"/>
    </row>
    <row r="13" spans="1:24">
      <c r="A13" t="s">
        <v>206</v>
      </c>
    </row>
  </sheetData>
  <mergeCells count="1">
    <mergeCell ref="B7:B9"/>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79"/>
  <sheetViews>
    <sheetView zoomScale="99" zoomScaleNormal="99" topLeftCell="C1" workbookViewId="0">
      <pane xSplit="1" ySplit="1" topLeftCell="Q50" activePane="bottomRight" state="frozen"/>
      <selection/>
      <selection pane="topRight"/>
      <selection pane="bottomLeft"/>
      <selection pane="bottomRight" activeCell="W52" sqref="W52"/>
    </sheetView>
  </sheetViews>
  <sheetFormatPr defaultColWidth="8.72727272727273" defaultRowHeight="14"/>
  <cols>
    <col min="1" max="1" width="15.3636363636364" hidden="1" customWidth="1"/>
    <col min="2" max="2" width="13.5454545454545" hidden="1" customWidth="1"/>
    <col min="3" max="3" width="11.3636363636364" customWidth="1"/>
    <col min="4" max="4" width="12.9090909090909" customWidth="1"/>
    <col min="5" max="5" width="12.2727272727273" style="35" customWidth="1"/>
    <col min="6" max="6" width="10.5454545454545" style="98" customWidth="1"/>
    <col min="7" max="7" width="8.27272727272727" customWidth="1"/>
    <col min="8" max="8" width="10.5454545454545" style="98" customWidth="1"/>
    <col min="9" max="9" width="12.1818181818182" customWidth="1"/>
    <col min="10" max="10" width="15.0909090909091" customWidth="1"/>
    <col min="11" max="11" width="10.7272727272727" customWidth="1"/>
    <col min="12" max="12" width="15" style="98" customWidth="1"/>
    <col min="13" max="13" width="17.9090909090909" customWidth="1"/>
    <col min="14" max="14" width="15.4545454545455" style="98" customWidth="1"/>
    <col min="15" max="15" width="12.9090909090909" style="98" customWidth="1"/>
    <col min="16" max="16" width="8.18181818181818" customWidth="1"/>
    <col min="17" max="17" width="10.5454545454545" customWidth="1"/>
    <col min="18" max="19" width="8.27272727272727" customWidth="1"/>
    <col min="20" max="20" width="10.5454545454545" customWidth="1"/>
    <col min="21" max="21" width="12.3636363636364" customWidth="1"/>
    <col min="22" max="22" width="10" style="98" customWidth="1"/>
    <col min="23" max="24" width="13" customWidth="1"/>
    <col min="25" max="25" width="15.4545454545455" customWidth="1"/>
    <col min="26" max="26" width="19.9" style="35" customWidth="1"/>
    <col min="27" max="27" width="18.8181818181818" customWidth="1"/>
    <col min="28" max="28" width="14.2727272727273" customWidth="1"/>
    <col min="29" max="29" width="12.5454545454545" customWidth="1"/>
    <col min="30" max="30" width="15.3636363636364" customWidth="1"/>
    <col min="31" max="32" width="13" customWidth="1"/>
    <col min="33" max="33" width="11.8181818181818" customWidth="1"/>
    <col min="34" max="34" width="11.9727272727273" style="5" customWidth="1"/>
    <col min="35" max="35" width="12.8181818181818"/>
    <col min="36" max="36" width="9.83636363636364" customWidth="1"/>
    <col min="37" max="38" width="12.8181818181818"/>
    <col min="39" max="39" width="14.0090909090909" customWidth="1"/>
    <col min="40" max="40" width="13.4727272727273" customWidth="1"/>
  </cols>
  <sheetData>
    <row r="1" s="95" customFormat="1" ht="35" customHeight="1" spans="1:40">
      <c r="A1" s="99" t="s">
        <v>207</v>
      </c>
      <c r="B1" s="99" t="s">
        <v>208</v>
      </c>
      <c r="C1" s="99" t="s">
        <v>22</v>
      </c>
      <c r="D1" s="99" t="s">
        <v>209</v>
      </c>
      <c r="E1" s="100" t="s">
        <v>89</v>
      </c>
      <c r="F1" s="100" t="s">
        <v>90</v>
      </c>
      <c r="G1" s="99" t="s">
        <v>5</v>
      </c>
      <c r="H1" s="100" t="s">
        <v>91</v>
      </c>
      <c r="I1" s="99" t="s">
        <v>92</v>
      </c>
      <c r="J1" s="99" t="s">
        <v>93</v>
      </c>
      <c r="K1" s="99" t="s">
        <v>94</v>
      </c>
      <c r="L1" s="100" t="s">
        <v>95</v>
      </c>
      <c r="M1" s="99" t="s">
        <v>96</v>
      </c>
      <c r="N1" s="100" t="s">
        <v>97</v>
      </c>
      <c r="O1" s="100" t="s">
        <v>98</v>
      </c>
      <c r="P1" s="99" t="s">
        <v>99</v>
      </c>
      <c r="Q1" s="99" t="s">
        <v>9</v>
      </c>
      <c r="R1" s="99" t="s">
        <v>100</v>
      </c>
      <c r="S1" s="99" t="s">
        <v>11</v>
      </c>
      <c r="T1" s="99" t="s">
        <v>101</v>
      </c>
      <c r="U1" s="99" t="s">
        <v>102</v>
      </c>
      <c r="V1" s="100" t="s">
        <v>103</v>
      </c>
      <c r="W1" s="99" t="s">
        <v>104</v>
      </c>
      <c r="X1" s="99" t="s">
        <v>105</v>
      </c>
      <c r="Y1" s="99" t="s">
        <v>106</v>
      </c>
      <c r="Z1" s="100" t="s">
        <v>210</v>
      </c>
      <c r="AA1" s="99" t="s">
        <v>108</v>
      </c>
      <c r="AB1" s="99" t="s">
        <v>109</v>
      </c>
      <c r="AC1" s="99" t="s">
        <v>110</v>
      </c>
      <c r="AD1" s="99" t="s">
        <v>211</v>
      </c>
      <c r="AE1" s="99" t="s">
        <v>175</v>
      </c>
      <c r="AF1" s="99" t="s">
        <v>115</v>
      </c>
      <c r="AG1" s="99" t="s">
        <v>116</v>
      </c>
      <c r="AH1" s="99" t="s">
        <v>42</v>
      </c>
      <c r="AI1" s="99" t="s">
        <v>17</v>
      </c>
      <c r="AJ1" s="99" t="s">
        <v>118</v>
      </c>
      <c r="AK1" s="99" t="s">
        <v>212</v>
      </c>
      <c r="AL1" s="99" t="s">
        <v>213</v>
      </c>
      <c r="AM1" s="99" t="s">
        <v>214</v>
      </c>
      <c r="AN1" s="99" t="s">
        <v>215</v>
      </c>
    </row>
    <row r="2" ht="14.5" spans="1:40">
      <c r="A2" s="101" t="s">
        <v>216</v>
      </c>
      <c r="B2" s="101" t="s">
        <v>217</v>
      </c>
      <c r="C2" s="101" t="s">
        <v>218</v>
      </c>
      <c r="D2" s="101" t="s">
        <v>218</v>
      </c>
      <c r="E2" s="102">
        <v>586705.92</v>
      </c>
      <c r="F2" s="103">
        <v>9530722</v>
      </c>
      <c r="G2" s="104">
        <v>0.038</v>
      </c>
      <c r="H2" s="103">
        <v>362076</v>
      </c>
      <c r="I2" s="105">
        <v>61.56</v>
      </c>
      <c r="J2" s="105">
        <v>1.09</v>
      </c>
      <c r="K2" s="106">
        <v>8275</v>
      </c>
      <c r="L2" s="103">
        <v>483742.39</v>
      </c>
      <c r="M2" s="106">
        <v>8196</v>
      </c>
      <c r="N2" s="103">
        <v>479864.05</v>
      </c>
      <c r="O2" s="103">
        <v>158044.83</v>
      </c>
      <c r="P2" s="105">
        <v>1.09</v>
      </c>
      <c r="Q2" s="105">
        <v>1.62</v>
      </c>
      <c r="R2" s="106">
        <v>15338</v>
      </c>
      <c r="S2" s="104">
        <v>0.0424</v>
      </c>
      <c r="T2" s="105">
        <v>38.25</v>
      </c>
      <c r="U2" s="105">
        <v>58.55</v>
      </c>
      <c r="V2" s="103">
        <v>484162</v>
      </c>
      <c r="W2" s="106">
        <v>7442</v>
      </c>
      <c r="X2" s="104">
        <v>0.3897</v>
      </c>
      <c r="Y2" s="105">
        <v>3.93</v>
      </c>
      <c r="Z2" s="102">
        <v>82786.5</v>
      </c>
      <c r="AA2" s="104">
        <v>0.1725</v>
      </c>
      <c r="AB2" s="104">
        <v>0.8275</v>
      </c>
      <c r="AC2" s="105">
        <v>0.91</v>
      </c>
      <c r="AD2" s="105">
        <v>85.86</v>
      </c>
      <c r="AE2" s="106">
        <v>3588</v>
      </c>
      <c r="AF2" s="107"/>
      <c r="AJ2" s="108"/>
    </row>
    <row r="3" ht="14.5" spans="1:40">
      <c r="A3" s="101" t="s">
        <v>216</v>
      </c>
      <c r="B3" s="101" t="s">
        <v>217</v>
      </c>
      <c r="C3" s="109">
        <v>45511</v>
      </c>
      <c r="D3" s="101" t="s">
        <v>218</v>
      </c>
      <c r="E3" s="102">
        <v>586705.92</v>
      </c>
      <c r="F3" s="103">
        <v>9530722</v>
      </c>
      <c r="G3" s="104">
        <v>0.038</v>
      </c>
      <c r="H3" s="103">
        <v>362076</v>
      </c>
      <c r="I3" s="105">
        <v>61.56</v>
      </c>
      <c r="J3" s="105">
        <v>1.09</v>
      </c>
      <c r="K3" s="106">
        <v>8275</v>
      </c>
      <c r="L3" s="103">
        <v>483742.39</v>
      </c>
      <c r="M3" s="106">
        <v>8196</v>
      </c>
      <c r="N3" s="103">
        <v>479864.05</v>
      </c>
      <c r="O3" s="103">
        <v>158044.83</v>
      </c>
      <c r="P3" s="105">
        <v>1.09</v>
      </c>
      <c r="Q3" s="105">
        <v>1.62</v>
      </c>
      <c r="R3" s="106">
        <v>15338</v>
      </c>
      <c r="S3" s="104">
        <v>0.0424</v>
      </c>
      <c r="T3" s="105">
        <v>38.25</v>
      </c>
      <c r="U3" s="105">
        <v>58.55</v>
      </c>
      <c r="V3" s="103">
        <v>484162</v>
      </c>
      <c r="W3" s="106">
        <v>7442</v>
      </c>
      <c r="X3" s="104">
        <v>0.3897</v>
      </c>
      <c r="Y3" s="105">
        <v>3.93</v>
      </c>
      <c r="Z3" s="102">
        <v>82786.5</v>
      </c>
      <c r="AA3" s="104">
        <v>0.1725</v>
      </c>
      <c r="AB3" s="104">
        <v>0.8275</v>
      </c>
      <c r="AC3" s="105">
        <v>0.91</v>
      </c>
      <c r="AD3" s="105">
        <v>85.86</v>
      </c>
      <c r="AE3" s="106">
        <v>3588</v>
      </c>
      <c r="AF3" s="107"/>
      <c r="AJ3" s="108"/>
    </row>
    <row r="4" ht="14.5" outlineLevel="1" spans="1:40">
      <c r="A4" s="101" t="s">
        <v>216</v>
      </c>
      <c r="B4" s="101" t="s">
        <v>217</v>
      </c>
      <c r="C4" s="109">
        <v>45511</v>
      </c>
      <c r="D4" s="101" t="s">
        <v>219</v>
      </c>
      <c r="E4" s="102">
        <v>178.51</v>
      </c>
      <c r="F4" s="103">
        <v>6480</v>
      </c>
      <c r="G4" s="104">
        <v>0.0315</v>
      </c>
      <c r="H4" s="103">
        <v>204</v>
      </c>
      <c r="I4" s="105">
        <v>27.55</v>
      </c>
      <c r="J4" s="105">
        <v>1.62</v>
      </c>
      <c r="K4" s="105">
        <v>5</v>
      </c>
      <c r="L4" s="103">
        <v>269.3</v>
      </c>
      <c r="M4" s="105">
        <v>3</v>
      </c>
      <c r="N4" s="103">
        <v>219.7</v>
      </c>
      <c r="O4" s="103">
        <v>20</v>
      </c>
      <c r="P4" s="105">
        <v>1.34</v>
      </c>
      <c r="Q4" s="105">
        <v>0.88</v>
      </c>
      <c r="R4" s="105">
        <v>9</v>
      </c>
      <c r="S4" s="104">
        <v>0.0441</v>
      </c>
      <c r="T4" s="105">
        <v>19.83</v>
      </c>
      <c r="U4" s="105">
        <v>73.23</v>
      </c>
      <c r="V4" s="103">
        <v>256</v>
      </c>
      <c r="W4" s="105">
        <v>9</v>
      </c>
      <c r="X4" s="104">
        <v>0.8182</v>
      </c>
      <c r="Y4" s="105">
        <v>0.09</v>
      </c>
      <c r="Z4" s="102">
        <v>139.8</v>
      </c>
      <c r="AA4" s="104">
        <v>0.6363</v>
      </c>
      <c r="AB4" s="104">
        <v>0.3637</v>
      </c>
      <c r="AC4" s="105">
        <v>0.45</v>
      </c>
      <c r="AD4" s="105">
        <v>178.51</v>
      </c>
      <c r="AE4" s="105">
        <v>5</v>
      </c>
      <c r="AF4" s="110">
        <f>E4/F4</f>
        <v>0.0275478395061728</v>
      </c>
      <c r="AG4" s="111">
        <f>E4/V4</f>
        <v>0.6973046875</v>
      </c>
      <c r="AH4" s="112">
        <f>(N4+O4)/V4</f>
        <v>0.936328125</v>
      </c>
      <c r="AI4" s="113">
        <f>V4/F4</f>
        <v>0.0395061728395062</v>
      </c>
      <c r="AJ4" s="113">
        <f>R4/V4</f>
        <v>0.03515625</v>
      </c>
      <c r="AK4" s="113">
        <f>E4/$E$3</f>
        <v>0.000304258051461284</v>
      </c>
      <c r="AL4" s="114">
        <f>(N4+O4)/($N$3+$O$3)</f>
        <v>0.000375758995548079</v>
      </c>
    </row>
    <row r="5" ht="14.5" outlineLevel="1" spans="1:40">
      <c r="A5" s="101" t="s">
        <v>216</v>
      </c>
      <c r="B5" s="101" t="s">
        <v>217</v>
      </c>
      <c r="C5" s="109">
        <v>45511</v>
      </c>
      <c r="D5" s="101" t="s">
        <v>220</v>
      </c>
      <c r="E5" s="102">
        <v>0.09</v>
      </c>
      <c r="F5" s="103">
        <v>238</v>
      </c>
      <c r="G5" s="104">
        <v>0.0378</v>
      </c>
      <c r="H5" s="103">
        <v>9</v>
      </c>
      <c r="I5" s="105">
        <v>0.38</v>
      </c>
      <c r="J5" s="105">
        <v>0</v>
      </c>
      <c r="K5" s="105">
        <v>0</v>
      </c>
      <c r="L5" s="103">
        <v>0</v>
      </c>
      <c r="M5" s="105">
        <v>0</v>
      </c>
      <c r="N5" s="103">
        <v>0</v>
      </c>
      <c r="O5" s="103">
        <v>0</v>
      </c>
      <c r="P5" s="105">
        <v>0</v>
      </c>
      <c r="Q5" s="105">
        <v>0.01</v>
      </c>
      <c r="R5" s="105">
        <v>0</v>
      </c>
      <c r="S5" s="104">
        <v>0</v>
      </c>
      <c r="T5" s="105">
        <v>0</v>
      </c>
      <c r="U5" s="105">
        <v>0</v>
      </c>
      <c r="V5" s="103">
        <v>33</v>
      </c>
      <c r="W5" s="105">
        <v>0</v>
      </c>
      <c r="X5" s="104">
        <v>0</v>
      </c>
      <c r="Y5" s="105">
        <v>0</v>
      </c>
      <c r="Z5" s="102">
        <v>0</v>
      </c>
      <c r="AA5" s="104">
        <v>0</v>
      </c>
      <c r="AB5" s="104">
        <v>0</v>
      </c>
      <c r="AC5" s="105">
        <v>0</v>
      </c>
      <c r="AD5" s="105">
        <v>0</v>
      </c>
      <c r="AE5" s="105">
        <v>1</v>
      </c>
      <c r="AF5" s="110">
        <f t="shared" ref="AF5:AF27" si="0">E5/F5</f>
        <v>0.000378151260504202</v>
      </c>
      <c r="AG5" s="111">
        <f t="shared" ref="AG5:AG27" si="1">E5/V5</f>
        <v>0.00272727272727273</v>
      </c>
      <c r="AH5" s="112">
        <f t="shared" ref="AH5:AH27" si="2">(N5+O5)/V5</f>
        <v>0</v>
      </c>
      <c r="AI5" s="113">
        <f t="shared" ref="AI5:AI27" si="3">V5/F5</f>
        <v>0.138655462184874</v>
      </c>
      <c r="AJ5" s="113">
        <f t="shared" ref="AJ5:AJ27" si="4">R5/V5</f>
        <v>0</v>
      </c>
      <c r="AK5" s="113">
        <f t="shared" ref="AK5:AK27" si="5">E5/$E$3</f>
        <v>1.53398827133021e-7</v>
      </c>
      <c r="AL5" s="114">
        <f t="shared" ref="AL5:AL27" si="6">(N5+O5)/($N$3+$O$3)</f>
        <v>0</v>
      </c>
    </row>
    <row r="6" ht="14.5" outlineLevel="1" spans="1:40">
      <c r="A6" s="101" t="s">
        <v>216</v>
      </c>
      <c r="B6" s="101" t="s">
        <v>217</v>
      </c>
      <c r="C6" s="109">
        <v>45511</v>
      </c>
      <c r="D6" s="101" t="s">
        <v>221</v>
      </c>
      <c r="E6" s="102">
        <v>0</v>
      </c>
      <c r="F6" s="103">
        <v>63</v>
      </c>
      <c r="G6" s="104">
        <v>0.0159</v>
      </c>
      <c r="H6" s="103">
        <v>1</v>
      </c>
      <c r="I6" s="105">
        <v>0</v>
      </c>
      <c r="J6" s="105">
        <v>0</v>
      </c>
      <c r="K6" s="105">
        <v>0</v>
      </c>
      <c r="L6" s="103">
        <v>0</v>
      </c>
      <c r="M6" s="105">
        <v>0</v>
      </c>
      <c r="N6" s="103">
        <v>0</v>
      </c>
      <c r="O6" s="103">
        <v>0</v>
      </c>
      <c r="P6" s="105">
        <v>0</v>
      </c>
      <c r="Q6" s="105">
        <v>0</v>
      </c>
      <c r="R6" s="105">
        <v>0</v>
      </c>
      <c r="S6" s="104">
        <v>0</v>
      </c>
      <c r="T6" s="105">
        <v>0</v>
      </c>
      <c r="U6" s="105">
        <v>0</v>
      </c>
      <c r="V6" s="103">
        <v>16</v>
      </c>
      <c r="W6" s="105">
        <v>0</v>
      </c>
      <c r="X6" s="104">
        <v>0</v>
      </c>
      <c r="Y6" s="105">
        <v>0</v>
      </c>
      <c r="Z6" s="102">
        <v>0</v>
      </c>
      <c r="AA6" s="104">
        <v>0</v>
      </c>
      <c r="AB6" s="104">
        <v>0</v>
      </c>
      <c r="AC6" s="105">
        <v>0</v>
      </c>
      <c r="AD6" s="105">
        <v>0</v>
      </c>
      <c r="AE6" s="105">
        <v>0</v>
      </c>
      <c r="AF6" s="110">
        <f t="shared" si="0"/>
        <v>0</v>
      </c>
      <c r="AG6" s="111">
        <f t="shared" si="1"/>
        <v>0</v>
      </c>
      <c r="AH6" s="112">
        <f t="shared" si="2"/>
        <v>0</v>
      </c>
      <c r="AI6" s="113">
        <f t="shared" si="3"/>
        <v>0.253968253968254</v>
      </c>
      <c r="AJ6" s="113">
        <f t="shared" si="4"/>
        <v>0</v>
      </c>
      <c r="AK6" s="113">
        <f t="shared" si="5"/>
        <v>0</v>
      </c>
      <c r="AL6" s="114">
        <f t="shared" si="6"/>
        <v>0</v>
      </c>
    </row>
    <row r="7" ht="14.5" outlineLevel="1" spans="1:40">
      <c r="A7" s="101" t="s">
        <v>216</v>
      </c>
      <c r="B7" s="101" t="s">
        <v>217</v>
      </c>
      <c r="C7" s="109">
        <v>45511</v>
      </c>
      <c r="D7" s="101" t="s">
        <v>222</v>
      </c>
      <c r="E7" s="102">
        <v>0</v>
      </c>
      <c r="F7" s="103">
        <v>6</v>
      </c>
      <c r="G7" s="104">
        <v>0</v>
      </c>
      <c r="H7" s="103">
        <v>0</v>
      </c>
      <c r="I7" s="105">
        <v>0</v>
      </c>
      <c r="J7" s="105">
        <v>0</v>
      </c>
      <c r="K7" s="105">
        <v>0</v>
      </c>
      <c r="L7" s="103">
        <v>0</v>
      </c>
      <c r="M7" s="105">
        <v>0</v>
      </c>
      <c r="N7" s="103">
        <v>0</v>
      </c>
      <c r="O7" s="103">
        <v>0</v>
      </c>
      <c r="P7" s="105">
        <v>0</v>
      </c>
      <c r="Q7" s="105">
        <v>0</v>
      </c>
      <c r="R7" s="105">
        <v>0</v>
      </c>
      <c r="S7" s="104">
        <v>0</v>
      </c>
      <c r="T7" s="105">
        <v>0</v>
      </c>
      <c r="U7" s="105">
        <v>0</v>
      </c>
      <c r="V7" s="103">
        <v>8</v>
      </c>
      <c r="W7" s="105">
        <v>0</v>
      </c>
      <c r="X7" s="104">
        <v>0</v>
      </c>
      <c r="Y7" s="105">
        <v>0</v>
      </c>
      <c r="Z7" s="102">
        <v>0</v>
      </c>
      <c r="AA7" s="104">
        <v>0</v>
      </c>
      <c r="AB7" s="104">
        <v>0</v>
      </c>
      <c r="AC7" s="105">
        <v>0</v>
      </c>
      <c r="AD7" s="105">
        <v>0</v>
      </c>
      <c r="AE7" s="105">
        <v>0</v>
      </c>
      <c r="AF7" s="110">
        <f t="shared" si="0"/>
        <v>0</v>
      </c>
      <c r="AG7" s="111">
        <f t="shared" si="1"/>
        <v>0</v>
      </c>
      <c r="AH7" s="112">
        <f t="shared" si="2"/>
        <v>0</v>
      </c>
      <c r="AI7" s="113">
        <f t="shared" si="3"/>
        <v>1.33333333333333</v>
      </c>
      <c r="AJ7" s="113">
        <f t="shared" si="4"/>
        <v>0</v>
      </c>
      <c r="AK7" s="113">
        <f t="shared" si="5"/>
        <v>0</v>
      </c>
      <c r="AL7" s="114">
        <f t="shared" si="6"/>
        <v>0</v>
      </c>
    </row>
    <row r="8" ht="14.5" outlineLevel="1" spans="1:40">
      <c r="A8" s="101" t="s">
        <v>216</v>
      </c>
      <c r="B8" s="101" t="s">
        <v>217</v>
      </c>
      <c r="C8" s="109">
        <v>45511</v>
      </c>
      <c r="D8" s="101" t="s">
        <v>223</v>
      </c>
      <c r="E8" s="102">
        <v>0</v>
      </c>
      <c r="F8" s="103">
        <v>8</v>
      </c>
      <c r="G8" s="104">
        <v>0</v>
      </c>
      <c r="H8" s="103">
        <v>0</v>
      </c>
      <c r="I8" s="105">
        <v>0</v>
      </c>
      <c r="J8" s="105">
        <v>0</v>
      </c>
      <c r="K8" s="105">
        <v>0</v>
      </c>
      <c r="L8" s="103">
        <v>0</v>
      </c>
      <c r="M8" s="105">
        <v>0</v>
      </c>
      <c r="N8" s="103">
        <v>0</v>
      </c>
      <c r="O8" s="103">
        <v>0</v>
      </c>
      <c r="P8" s="105">
        <v>0</v>
      </c>
      <c r="Q8" s="105">
        <v>0</v>
      </c>
      <c r="R8" s="105">
        <v>0</v>
      </c>
      <c r="S8" s="104">
        <v>0</v>
      </c>
      <c r="T8" s="105">
        <v>0</v>
      </c>
      <c r="U8" s="105">
        <v>0</v>
      </c>
      <c r="V8" s="103">
        <v>11</v>
      </c>
      <c r="W8" s="105">
        <v>0</v>
      </c>
      <c r="X8" s="104">
        <v>0</v>
      </c>
      <c r="Y8" s="105">
        <v>0</v>
      </c>
      <c r="Z8" s="102">
        <v>0</v>
      </c>
      <c r="AA8" s="104">
        <v>0</v>
      </c>
      <c r="AB8" s="104">
        <v>0</v>
      </c>
      <c r="AC8" s="105">
        <v>0</v>
      </c>
      <c r="AD8" s="105">
        <v>0</v>
      </c>
      <c r="AE8" s="105">
        <v>0</v>
      </c>
      <c r="AF8" s="110">
        <f t="shared" si="0"/>
        <v>0</v>
      </c>
      <c r="AG8" s="111">
        <f t="shared" si="1"/>
        <v>0</v>
      </c>
      <c r="AH8" s="112">
        <f t="shared" si="2"/>
        <v>0</v>
      </c>
      <c r="AI8" s="113">
        <f t="shared" si="3"/>
        <v>1.375</v>
      </c>
      <c r="AJ8" s="113">
        <f t="shared" si="4"/>
        <v>0</v>
      </c>
      <c r="AK8" s="113">
        <f t="shared" si="5"/>
        <v>0</v>
      </c>
      <c r="AL8" s="114">
        <f t="shared" si="6"/>
        <v>0</v>
      </c>
    </row>
    <row r="9" ht="14.5" outlineLevel="1" spans="1:40">
      <c r="A9" s="101" t="s">
        <v>216</v>
      </c>
      <c r="B9" s="101" t="s">
        <v>217</v>
      </c>
      <c r="C9" s="109">
        <v>45511</v>
      </c>
      <c r="D9" s="101" t="s">
        <v>224</v>
      </c>
      <c r="E9" s="102">
        <v>0</v>
      </c>
      <c r="F9" s="103">
        <v>9</v>
      </c>
      <c r="G9" s="104">
        <v>0</v>
      </c>
      <c r="H9" s="103">
        <v>0</v>
      </c>
      <c r="I9" s="105">
        <v>0</v>
      </c>
      <c r="J9" s="105">
        <v>0</v>
      </c>
      <c r="K9" s="105">
        <v>0</v>
      </c>
      <c r="L9" s="103">
        <v>0</v>
      </c>
      <c r="M9" s="105">
        <v>0</v>
      </c>
      <c r="N9" s="103">
        <v>0</v>
      </c>
      <c r="O9" s="103">
        <v>0</v>
      </c>
      <c r="P9" s="105">
        <v>0</v>
      </c>
      <c r="Q9" s="105">
        <v>0</v>
      </c>
      <c r="R9" s="105">
        <v>0</v>
      </c>
      <c r="S9" s="104">
        <v>0</v>
      </c>
      <c r="T9" s="105">
        <v>0</v>
      </c>
      <c r="U9" s="105">
        <v>0</v>
      </c>
      <c r="V9" s="103">
        <v>21</v>
      </c>
      <c r="W9" s="105">
        <v>0</v>
      </c>
      <c r="X9" s="104">
        <v>0</v>
      </c>
      <c r="Y9" s="105">
        <v>0</v>
      </c>
      <c r="Z9" s="102">
        <v>0</v>
      </c>
      <c r="AA9" s="104">
        <v>0</v>
      </c>
      <c r="AB9" s="104">
        <v>0</v>
      </c>
      <c r="AC9" s="105">
        <v>0</v>
      </c>
      <c r="AD9" s="105">
        <v>0</v>
      </c>
      <c r="AE9" s="105">
        <v>0</v>
      </c>
      <c r="AF9" s="110">
        <f t="shared" si="0"/>
        <v>0</v>
      </c>
      <c r="AG9" s="111">
        <f t="shared" si="1"/>
        <v>0</v>
      </c>
      <c r="AH9" s="112">
        <f t="shared" si="2"/>
        <v>0</v>
      </c>
      <c r="AI9" s="113">
        <f t="shared" si="3"/>
        <v>2.33333333333333</v>
      </c>
      <c r="AJ9" s="113">
        <f t="shared" si="4"/>
        <v>0</v>
      </c>
      <c r="AK9" s="113">
        <f t="shared" si="5"/>
        <v>0</v>
      </c>
      <c r="AL9" s="114">
        <f t="shared" si="6"/>
        <v>0</v>
      </c>
    </row>
    <row r="10" ht="14.5" outlineLevel="1" spans="1:40">
      <c r="A10" s="101" t="s">
        <v>216</v>
      </c>
      <c r="B10" s="101" t="s">
        <v>217</v>
      </c>
      <c r="C10" s="109">
        <v>45511</v>
      </c>
      <c r="D10" s="101" t="s">
        <v>225</v>
      </c>
      <c r="E10" s="102">
        <v>4582.56</v>
      </c>
      <c r="F10" s="103">
        <v>53252</v>
      </c>
      <c r="G10" s="104">
        <v>0.0737</v>
      </c>
      <c r="H10" s="103">
        <v>3923</v>
      </c>
      <c r="I10" s="105">
        <v>86.05</v>
      </c>
      <c r="J10" s="105">
        <v>1.02</v>
      </c>
      <c r="K10" s="105">
        <v>62</v>
      </c>
      <c r="L10" s="103">
        <v>3428.9</v>
      </c>
      <c r="M10" s="105">
        <v>60</v>
      </c>
      <c r="N10" s="103">
        <v>3405.2</v>
      </c>
      <c r="O10" s="103">
        <v>1246</v>
      </c>
      <c r="P10" s="105">
        <v>1.01</v>
      </c>
      <c r="Q10" s="105">
        <v>1.17</v>
      </c>
      <c r="R10" s="105">
        <v>110</v>
      </c>
      <c r="S10" s="104">
        <v>0.028</v>
      </c>
      <c r="T10" s="105">
        <v>41.66</v>
      </c>
      <c r="U10" s="105">
        <v>56.75</v>
      </c>
      <c r="V10" s="103">
        <v>4068</v>
      </c>
      <c r="W10" s="105">
        <v>46</v>
      </c>
      <c r="X10" s="104">
        <v>0.3966</v>
      </c>
      <c r="Y10" s="105">
        <v>2.15</v>
      </c>
      <c r="Z10" s="102">
        <v>656.7</v>
      </c>
      <c r="AA10" s="104">
        <v>0.1929</v>
      </c>
      <c r="AB10" s="104">
        <v>0.8071</v>
      </c>
      <c r="AC10" s="105">
        <v>0.83</v>
      </c>
      <c r="AD10" s="105">
        <v>95.47</v>
      </c>
      <c r="AE10" s="105">
        <v>42</v>
      </c>
      <c r="AF10" s="110">
        <f t="shared" si="0"/>
        <v>0.0860542327048749</v>
      </c>
      <c r="AG10" s="111">
        <f t="shared" si="1"/>
        <v>1.12648967551622</v>
      </c>
      <c r="AH10" s="112">
        <f t="shared" si="2"/>
        <v>1.14336283185841</v>
      </c>
      <c r="AI10" s="113">
        <f t="shared" si="3"/>
        <v>0.0763914970329753</v>
      </c>
      <c r="AJ10" s="113">
        <f t="shared" si="4"/>
        <v>0.0270403146509341</v>
      </c>
      <c r="AK10" s="113">
        <f t="shared" si="5"/>
        <v>0.0078106592140744</v>
      </c>
      <c r="AL10" s="114">
        <f t="shared" si="6"/>
        <v>0.00729132348808187</v>
      </c>
    </row>
    <row r="11" ht="14.5" outlineLevel="1" spans="1:40">
      <c r="A11" s="101" t="s">
        <v>216</v>
      </c>
      <c r="B11" s="101" t="s">
        <v>217</v>
      </c>
      <c r="C11" s="109">
        <v>45511</v>
      </c>
      <c r="D11" s="101" t="s">
        <v>226</v>
      </c>
      <c r="E11" s="102">
        <v>6703.19</v>
      </c>
      <c r="F11" s="103">
        <v>64140</v>
      </c>
      <c r="G11" s="104">
        <v>0.0478</v>
      </c>
      <c r="H11" s="103">
        <v>3069</v>
      </c>
      <c r="I11" s="105">
        <v>104.51</v>
      </c>
      <c r="J11" s="105">
        <v>1.33</v>
      </c>
      <c r="K11" s="105">
        <v>115</v>
      </c>
      <c r="L11" s="103">
        <v>6329.51</v>
      </c>
      <c r="M11" s="105">
        <v>113</v>
      </c>
      <c r="N11" s="103">
        <v>6260.11</v>
      </c>
      <c r="O11" s="103">
        <v>2584.99</v>
      </c>
      <c r="P11" s="105">
        <v>1.32</v>
      </c>
      <c r="Q11" s="105">
        <v>2.18</v>
      </c>
      <c r="R11" s="105">
        <v>194</v>
      </c>
      <c r="S11" s="104">
        <v>0.0632</v>
      </c>
      <c r="T11" s="105">
        <v>34.55</v>
      </c>
      <c r="U11" s="105">
        <v>55.4</v>
      </c>
      <c r="V11" s="103">
        <v>3533</v>
      </c>
      <c r="W11" s="105">
        <v>55</v>
      </c>
      <c r="X11" s="104">
        <v>0.309</v>
      </c>
      <c r="Y11" s="105">
        <v>2.05</v>
      </c>
      <c r="Z11" s="102">
        <v>1457.5</v>
      </c>
      <c r="AA11" s="104">
        <v>0.2328</v>
      </c>
      <c r="AB11" s="104">
        <v>0.7672</v>
      </c>
      <c r="AC11" s="105">
        <v>1.01</v>
      </c>
      <c r="AD11" s="105">
        <v>77.94</v>
      </c>
      <c r="AE11" s="105">
        <v>46</v>
      </c>
      <c r="AF11" s="110">
        <f t="shared" si="0"/>
        <v>0.104508730901154</v>
      </c>
      <c r="AG11" s="111">
        <f t="shared" si="1"/>
        <v>1.8973082366261</v>
      </c>
      <c r="AH11" s="112">
        <f t="shared" si="2"/>
        <v>2.50356637418624</v>
      </c>
      <c r="AI11" s="113">
        <f t="shared" si="3"/>
        <v>0.055082631743062</v>
      </c>
      <c r="AJ11" s="113">
        <f t="shared" si="4"/>
        <v>0.0549108406453439</v>
      </c>
      <c r="AK11" s="113">
        <f t="shared" si="5"/>
        <v>0.0114251276005533</v>
      </c>
      <c r="AL11" s="114">
        <f t="shared" si="6"/>
        <v>0.0138657734314656</v>
      </c>
    </row>
    <row r="12" ht="14.5" outlineLevel="1" spans="1:40">
      <c r="A12" s="101" t="s">
        <v>216</v>
      </c>
      <c r="B12" s="101" t="s">
        <v>217</v>
      </c>
      <c r="C12" s="109">
        <v>45511</v>
      </c>
      <c r="D12" s="101" t="s">
        <v>227</v>
      </c>
      <c r="E12" s="102">
        <v>10505.23</v>
      </c>
      <c r="F12" s="103">
        <v>114430</v>
      </c>
      <c r="G12" s="104">
        <v>0.0601</v>
      </c>
      <c r="H12" s="103">
        <v>6880</v>
      </c>
      <c r="I12" s="105">
        <v>91.8</v>
      </c>
      <c r="J12" s="105">
        <v>1.38</v>
      </c>
      <c r="K12" s="105">
        <v>182</v>
      </c>
      <c r="L12" s="103">
        <v>10183.03</v>
      </c>
      <c r="M12" s="105">
        <v>180</v>
      </c>
      <c r="N12" s="103">
        <v>9923.53</v>
      </c>
      <c r="O12" s="103">
        <v>4360.03</v>
      </c>
      <c r="P12" s="105">
        <v>1.36</v>
      </c>
      <c r="Q12" s="105">
        <v>1.53</v>
      </c>
      <c r="R12" s="105">
        <v>304</v>
      </c>
      <c r="S12" s="104">
        <v>0.0442</v>
      </c>
      <c r="T12" s="105">
        <v>34.56</v>
      </c>
      <c r="U12" s="105">
        <v>55.13</v>
      </c>
      <c r="V12" s="103">
        <v>7620</v>
      </c>
      <c r="W12" s="105">
        <v>134</v>
      </c>
      <c r="X12" s="104">
        <v>0.3592</v>
      </c>
      <c r="Y12" s="105">
        <v>0.9</v>
      </c>
      <c r="Z12" s="102">
        <v>1978</v>
      </c>
      <c r="AA12" s="104">
        <v>0.1993</v>
      </c>
      <c r="AB12" s="104">
        <v>0.8007</v>
      </c>
      <c r="AC12" s="105">
        <v>1.09</v>
      </c>
      <c r="AD12" s="105">
        <v>73.46</v>
      </c>
      <c r="AE12" s="105">
        <v>80</v>
      </c>
      <c r="AF12" s="110">
        <f t="shared" si="0"/>
        <v>0.0918048588656821</v>
      </c>
      <c r="AG12" s="111">
        <f t="shared" si="1"/>
        <v>1.37863910761155</v>
      </c>
      <c r="AH12" s="112">
        <f t="shared" si="2"/>
        <v>1.87448293963255</v>
      </c>
      <c r="AI12" s="113">
        <f t="shared" si="3"/>
        <v>0.0665909289521979</v>
      </c>
      <c r="AJ12" s="113">
        <f t="shared" si="4"/>
        <v>0.0398950131233596</v>
      </c>
      <c r="AK12" s="113">
        <f t="shared" si="5"/>
        <v>0.0179054440084736</v>
      </c>
      <c r="AL12" s="114">
        <f t="shared" si="6"/>
        <v>0.0223912230223226</v>
      </c>
    </row>
    <row r="13" ht="14.5" outlineLevel="1" spans="1:40">
      <c r="A13" s="101" t="s">
        <v>216</v>
      </c>
      <c r="B13" s="101" t="s">
        <v>217</v>
      </c>
      <c r="C13" s="109">
        <v>45511</v>
      </c>
      <c r="D13" s="101" t="s">
        <v>228</v>
      </c>
      <c r="E13" s="102">
        <v>7090.59</v>
      </c>
      <c r="F13" s="103">
        <v>78902</v>
      </c>
      <c r="G13" s="104">
        <v>0.0508</v>
      </c>
      <c r="H13" s="103">
        <v>4010</v>
      </c>
      <c r="I13" s="105">
        <v>89.87</v>
      </c>
      <c r="J13" s="105">
        <v>1.28</v>
      </c>
      <c r="K13" s="105">
        <v>116</v>
      </c>
      <c r="L13" s="103">
        <v>6413.36</v>
      </c>
      <c r="M13" s="105">
        <v>113</v>
      </c>
      <c r="N13" s="103">
        <v>6249.26</v>
      </c>
      <c r="O13" s="103">
        <v>2636.53</v>
      </c>
      <c r="P13" s="105">
        <v>1.25</v>
      </c>
      <c r="Q13" s="105">
        <v>1.77</v>
      </c>
      <c r="R13" s="105">
        <v>344</v>
      </c>
      <c r="S13" s="104">
        <v>0.0858</v>
      </c>
      <c r="T13" s="105">
        <v>20.61</v>
      </c>
      <c r="U13" s="105">
        <v>55.3</v>
      </c>
      <c r="V13" s="103">
        <v>4811</v>
      </c>
      <c r="W13" s="105">
        <v>243</v>
      </c>
      <c r="X13" s="104">
        <v>0.3951</v>
      </c>
      <c r="Y13" s="105">
        <v>0.48</v>
      </c>
      <c r="Z13" s="102">
        <v>1194.3</v>
      </c>
      <c r="AA13" s="104">
        <v>0.1911</v>
      </c>
      <c r="AB13" s="104">
        <v>0.8089</v>
      </c>
      <c r="AC13" s="105">
        <v>1.01</v>
      </c>
      <c r="AD13" s="105">
        <v>78.78</v>
      </c>
      <c r="AE13" s="105">
        <v>63</v>
      </c>
      <c r="AF13" s="110">
        <f t="shared" si="0"/>
        <v>0.0898657828698892</v>
      </c>
      <c r="AG13" s="111">
        <f t="shared" si="1"/>
        <v>1.47382872583662</v>
      </c>
      <c r="AH13" s="112">
        <f t="shared" si="2"/>
        <v>1.84697360216171</v>
      </c>
      <c r="AI13" s="113">
        <f t="shared" si="3"/>
        <v>0.0609743732731743</v>
      </c>
      <c r="AJ13" s="113">
        <f t="shared" si="4"/>
        <v>0.0715028060694242</v>
      </c>
      <c r="AK13" s="113">
        <f t="shared" si="5"/>
        <v>0.0120854243297903</v>
      </c>
      <c r="AL13" s="114">
        <f t="shared" si="6"/>
        <v>0.0139295599710103</v>
      </c>
    </row>
    <row r="14" ht="14.5" outlineLevel="1" spans="1:40">
      <c r="A14" s="101" t="s">
        <v>216</v>
      </c>
      <c r="B14" s="101" t="s">
        <v>217</v>
      </c>
      <c r="C14" s="109">
        <v>45511</v>
      </c>
      <c r="D14" s="101" t="s">
        <v>229</v>
      </c>
      <c r="E14" s="102">
        <v>4548.28</v>
      </c>
      <c r="F14" s="103">
        <v>48910</v>
      </c>
      <c r="G14" s="104">
        <v>0.0516</v>
      </c>
      <c r="H14" s="103">
        <v>2524</v>
      </c>
      <c r="I14" s="105">
        <v>92.99</v>
      </c>
      <c r="J14" s="105">
        <v>1.36</v>
      </c>
      <c r="K14" s="105">
        <v>82</v>
      </c>
      <c r="L14" s="103">
        <v>4222.9</v>
      </c>
      <c r="M14" s="105">
        <v>77</v>
      </c>
      <c r="N14" s="103">
        <v>4148.28</v>
      </c>
      <c r="O14" s="103">
        <v>1948.02</v>
      </c>
      <c r="P14" s="105">
        <v>1.34</v>
      </c>
      <c r="Q14" s="105">
        <v>1.8</v>
      </c>
      <c r="R14" s="105">
        <v>266</v>
      </c>
      <c r="S14" s="104">
        <v>0.1054</v>
      </c>
      <c r="T14" s="105">
        <v>17.1</v>
      </c>
      <c r="U14" s="105">
        <v>53.87</v>
      </c>
      <c r="V14" s="103">
        <v>3032</v>
      </c>
      <c r="W14" s="105">
        <v>190</v>
      </c>
      <c r="X14" s="104">
        <v>0.446</v>
      </c>
      <c r="Y14" s="105">
        <v>0.67</v>
      </c>
      <c r="Z14" s="102">
        <v>615.99</v>
      </c>
      <c r="AA14" s="104">
        <v>0.1485</v>
      </c>
      <c r="AB14" s="104">
        <v>0.8515</v>
      </c>
      <c r="AC14" s="105">
        <v>1.14</v>
      </c>
      <c r="AD14" s="105">
        <v>71.07</v>
      </c>
      <c r="AE14" s="105">
        <v>32</v>
      </c>
      <c r="AF14" s="110">
        <f t="shared" si="0"/>
        <v>0.0929928439991822</v>
      </c>
      <c r="AG14" s="111">
        <f t="shared" si="1"/>
        <v>1.50009234828496</v>
      </c>
      <c r="AH14" s="112">
        <f t="shared" si="2"/>
        <v>2.01065303430079</v>
      </c>
      <c r="AI14" s="113">
        <f t="shared" si="3"/>
        <v>0.0619914127990186</v>
      </c>
      <c r="AJ14" s="113">
        <f t="shared" si="4"/>
        <v>0.0877308707124011</v>
      </c>
      <c r="AK14" s="113">
        <f t="shared" si="5"/>
        <v>0.00775223130525085</v>
      </c>
      <c r="AL14" s="114">
        <f t="shared" si="6"/>
        <v>0.00955669405323218</v>
      </c>
    </row>
    <row r="15" ht="14.5" outlineLevel="1" spans="1:40">
      <c r="A15" s="101" t="s">
        <v>216</v>
      </c>
      <c r="B15" s="101" t="s">
        <v>217</v>
      </c>
      <c r="C15" s="109">
        <v>45511</v>
      </c>
      <c r="D15" s="101" t="s">
        <v>230</v>
      </c>
      <c r="E15" s="102">
        <v>6766.54</v>
      </c>
      <c r="F15" s="103">
        <v>74883</v>
      </c>
      <c r="G15" s="104">
        <v>0.0501</v>
      </c>
      <c r="H15" s="103">
        <v>3754</v>
      </c>
      <c r="I15" s="105">
        <v>90.36</v>
      </c>
      <c r="J15" s="105">
        <v>1.13</v>
      </c>
      <c r="K15" s="105">
        <v>102</v>
      </c>
      <c r="L15" s="103">
        <v>5423.18</v>
      </c>
      <c r="M15" s="105">
        <v>100</v>
      </c>
      <c r="N15" s="103">
        <v>5329.48</v>
      </c>
      <c r="O15" s="103">
        <v>2255</v>
      </c>
      <c r="P15" s="105">
        <v>1.12</v>
      </c>
      <c r="Q15" s="105">
        <v>1.8</v>
      </c>
      <c r="R15" s="105">
        <v>263</v>
      </c>
      <c r="S15" s="104">
        <v>0.0701</v>
      </c>
      <c r="T15" s="105">
        <v>25.73</v>
      </c>
      <c r="U15" s="105">
        <v>53.29</v>
      </c>
      <c r="V15" s="103">
        <v>4499</v>
      </c>
      <c r="W15" s="105">
        <v>167</v>
      </c>
      <c r="X15" s="104">
        <v>0.4501</v>
      </c>
      <c r="Y15" s="105">
        <v>0.82</v>
      </c>
      <c r="Z15" s="102">
        <v>883.59</v>
      </c>
      <c r="AA15" s="104">
        <v>0.1658</v>
      </c>
      <c r="AB15" s="104">
        <v>0.8342</v>
      </c>
      <c r="AC15" s="105">
        <v>0.93</v>
      </c>
      <c r="AD15" s="105">
        <v>82.52</v>
      </c>
      <c r="AE15" s="105">
        <v>40</v>
      </c>
      <c r="AF15" s="110">
        <f t="shared" si="0"/>
        <v>0.0903614972690731</v>
      </c>
      <c r="AG15" s="111">
        <f t="shared" si="1"/>
        <v>1.5040097799511</v>
      </c>
      <c r="AH15" s="112">
        <f t="shared" si="2"/>
        <v>1.68581462547233</v>
      </c>
      <c r="AI15" s="113">
        <f t="shared" si="3"/>
        <v>0.0600803920783088</v>
      </c>
      <c r="AJ15" s="113">
        <f t="shared" si="4"/>
        <v>0.0584574349855523</v>
      </c>
      <c r="AK15" s="113">
        <f t="shared" si="5"/>
        <v>0.0115331033305408</v>
      </c>
      <c r="AL15" s="114">
        <f t="shared" si="6"/>
        <v>0.0118895977745285</v>
      </c>
    </row>
    <row r="16" ht="14.5" outlineLevel="1" spans="1:40">
      <c r="A16" s="101" t="s">
        <v>216</v>
      </c>
      <c r="B16" s="101" t="s">
        <v>217</v>
      </c>
      <c r="C16" s="109">
        <v>45511</v>
      </c>
      <c r="D16" s="101" t="s">
        <v>231</v>
      </c>
      <c r="E16" s="102">
        <v>6574.15</v>
      </c>
      <c r="F16" s="103">
        <v>78363</v>
      </c>
      <c r="G16" s="104">
        <v>0.0537</v>
      </c>
      <c r="H16" s="103">
        <v>4206</v>
      </c>
      <c r="I16" s="105">
        <v>83.89</v>
      </c>
      <c r="J16" s="105">
        <v>1.42</v>
      </c>
      <c r="K16" s="105">
        <v>119</v>
      </c>
      <c r="L16" s="103">
        <v>6716.42</v>
      </c>
      <c r="M16" s="105">
        <v>119</v>
      </c>
      <c r="N16" s="103">
        <v>6716.42</v>
      </c>
      <c r="O16" s="103">
        <v>2619.08</v>
      </c>
      <c r="P16" s="105">
        <v>1.42</v>
      </c>
      <c r="Q16" s="105">
        <v>1.56</v>
      </c>
      <c r="R16" s="105">
        <v>289</v>
      </c>
      <c r="S16" s="104">
        <v>0.0687</v>
      </c>
      <c r="T16" s="105">
        <v>22.75</v>
      </c>
      <c r="U16" s="105">
        <v>56.44</v>
      </c>
      <c r="V16" s="103">
        <v>5168</v>
      </c>
      <c r="W16" s="105">
        <v>175</v>
      </c>
      <c r="X16" s="104">
        <v>0.3968</v>
      </c>
      <c r="Y16" s="105">
        <v>0.86</v>
      </c>
      <c r="Z16" s="102">
        <v>1217.3</v>
      </c>
      <c r="AA16" s="104">
        <v>0.1812</v>
      </c>
      <c r="AB16" s="104">
        <v>0.8188</v>
      </c>
      <c r="AC16" s="105">
        <v>1.18</v>
      </c>
      <c r="AD16" s="105">
        <v>68.48</v>
      </c>
      <c r="AE16" s="105">
        <v>41</v>
      </c>
      <c r="AF16" s="110">
        <f t="shared" si="0"/>
        <v>0.0838935466993351</v>
      </c>
      <c r="AG16" s="111">
        <f t="shared" si="1"/>
        <v>1.27208784829721</v>
      </c>
      <c r="AH16" s="112">
        <f t="shared" si="2"/>
        <v>1.80640479876161</v>
      </c>
      <c r="AI16" s="113">
        <f t="shared" si="3"/>
        <v>0.0659494914691883</v>
      </c>
      <c r="AJ16" s="113">
        <f t="shared" si="4"/>
        <v>0.0559210526315789</v>
      </c>
      <c r="AK16" s="113">
        <f t="shared" si="5"/>
        <v>0.0112051877710728</v>
      </c>
      <c r="AL16" s="114">
        <f t="shared" si="6"/>
        <v>0.0146345352646604</v>
      </c>
    </row>
    <row r="17" ht="14.5" outlineLevel="1" spans="1:40">
      <c r="A17" s="101" t="s">
        <v>216</v>
      </c>
      <c r="B17" s="101" t="s">
        <v>217</v>
      </c>
      <c r="C17" s="109">
        <v>45511</v>
      </c>
      <c r="D17" s="101" t="s">
        <v>232</v>
      </c>
      <c r="E17" s="102">
        <v>7271.32</v>
      </c>
      <c r="F17" s="103">
        <v>86663</v>
      </c>
      <c r="G17" s="104">
        <v>0.0507</v>
      </c>
      <c r="H17" s="103">
        <v>4396</v>
      </c>
      <c r="I17" s="105">
        <v>83.9</v>
      </c>
      <c r="J17" s="105">
        <v>1.17</v>
      </c>
      <c r="K17" s="105">
        <v>110</v>
      </c>
      <c r="L17" s="103">
        <v>5913.14</v>
      </c>
      <c r="M17" s="105">
        <v>108</v>
      </c>
      <c r="N17" s="103">
        <v>5876.33</v>
      </c>
      <c r="O17" s="103">
        <v>2590.05</v>
      </c>
      <c r="P17" s="105">
        <v>1.16</v>
      </c>
      <c r="Q17" s="105">
        <v>1.65</v>
      </c>
      <c r="R17" s="105">
        <v>173</v>
      </c>
      <c r="S17" s="104">
        <v>0.0394</v>
      </c>
      <c r="T17" s="105">
        <v>42.03</v>
      </c>
      <c r="U17" s="105">
        <v>54.41</v>
      </c>
      <c r="V17" s="103">
        <v>5169</v>
      </c>
      <c r="W17" s="105">
        <v>68</v>
      </c>
      <c r="X17" s="104">
        <v>0.3656</v>
      </c>
      <c r="Y17" s="105">
        <v>2.36</v>
      </c>
      <c r="Z17" s="102">
        <v>819.89</v>
      </c>
      <c r="AA17" s="104">
        <v>0.1395</v>
      </c>
      <c r="AB17" s="104">
        <v>0.8605</v>
      </c>
      <c r="AC17" s="105">
        <v>1</v>
      </c>
      <c r="AD17" s="105">
        <v>78.19</v>
      </c>
      <c r="AE17" s="105">
        <v>41</v>
      </c>
      <c r="AF17" s="110">
        <f t="shared" si="0"/>
        <v>0.083903395912904</v>
      </c>
      <c r="AG17" s="111">
        <f t="shared" si="1"/>
        <v>1.40671696653124</v>
      </c>
      <c r="AH17" s="112">
        <f t="shared" si="2"/>
        <v>1.63791449023022</v>
      </c>
      <c r="AI17" s="113">
        <f t="shared" si="3"/>
        <v>0.0596448311274708</v>
      </c>
      <c r="AJ17" s="113">
        <f t="shared" si="4"/>
        <v>0.0334687560456568</v>
      </c>
      <c r="AK17" s="113">
        <f t="shared" si="5"/>
        <v>0.0123934662189875</v>
      </c>
      <c r="AL17" s="114">
        <f t="shared" si="6"/>
        <v>0.0132720836242317</v>
      </c>
    </row>
    <row r="18" ht="14.5" outlineLevel="1" spans="1:40">
      <c r="A18" s="101" t="s">
        <v>216</v>
      </c>
      <c r="B18" s="101" t="s">
        <v>217</v>
      </c>
      <c r="C18" s="109">
        <v>45511</v>
      </c>
      <c r="D18" s="101" t="s">
        <v>233</v>
      </c>
      <c r="E18" s="102">
        <v>6672.14</v>
      </c>
      <c r="F18" s="103">
        <v>87378</v>
      </c>
      <c r="G18" s="104">
        <v>0.0405</v>
      </c>
      <c r="H18" s="103">
        <v>3541</v>
      </c>
      <c r="I18" s="105">
        <v>76.36</v>
      </c>
      <c r="J18" s="105">
        <v>1.34</v>
      </c>
      <c r="K18" s="105">
        <v>114</v>
      </c>
      <c r="L18" s="103">
        <v>6225.15</v>
      </c>
      <c r="M18" s="105">
        <v>114</v>
      </c>
      <c r="N18" s="103">
        <v>6225.15</v>
      </c>
      <c r="O18" s="103">
        <v>2746.04</v>
      </c>
      <c r="P18" s="105">
        <v>1.34</v>
      </c>
      <c r="Q18" s="105">
        <v>1.88</v>
      </c>
      <c r="R18" s="105">
        <v>145</v>
      </c>
      <c r="S18" s="104">
        <v>0.0409</v>
      </c>
      <c r="T18" s="105">
        <v>46.01</v>
      </c>
      <c r="U18" s="105">
        <v>54.61</v>
      </c>
      <c r="V18" s="103">
        <v>4399</v>
      </c>
      <c r="W18" s="105">
        <v>28</v>
      </c>
      <c r="X18" s="104">
        <v>0.4516</v>
      </c>
      <c r="Y18" s="105">
        <v>4.74</v>
      </c>
      <c r="Z18" s="102">
        <v>1033.29</v>
      </c>
      <c r="AA18" s="104">
        <v>0.166</v>
      </c>
      <c r="AB18" s="104">
        <v>0.834</v>
      </c>
      <c r="AC18" s="105">
        <v>1.12</v>
      </c>
      <c r="AD18" s="105">
        <v>70.98</v>
      </c>
      <c r="AE18" s="105">
        <v>34</v>
      </c>
      <c r="AF18" s="110">
        <f t="shared" si="0"/>
        <v>0.0763594955251894</v>
      </c>
      <c r="AG18" s="111">
        <f t="shared" si="1"/>
        <v>1.51674016822005</v>
      </c>
      <c r="AH18" s="112">
        <f t="shared" si="2"/>
        <v>2.03937031143442</v>
      </c>
      <c r="AI18" s="113">
        <f t="shared" si="3"/>
        <v>0.0503444803039667</v>
      </c>
      <c r="AJ18" s="113">
        <f t="shared" si="4"/>
        <v>0.0329620368265515</v>
      </c>
      <c r="AK18" s="113">
        <f t="shared" si="5"/>
        <v>0.0113722050051924</v>
      </c>
      <c r="AL18" s="114">
        <f t="shared" si="6"/>
        <v>0.0140634348905756</v>
      </c>
    </row>
    <row r="19" ht="14.5" outlineLevel="1" spans="1:40">
      <c r="A19" s="101" t="s">
        <v>216</v>
      </c>
      <c r="B19" s="101" t="s">
        <v>217</v>
      </c>
      <c r="C19" s="109">
        <v>45511</v>
      </c>
      <c r="D19" s="101" t="s">
        <v>234</v>
      </c>
      <c r="E19" s="102">
        <v>7964.02</v>
      </c>
      <c r="F19" s="103">
        <v>105186</v>
      </c>
      <c r="G19" s="104">
        <v>0.0447</v>
      </c>
      <c r="H19" s="103">
        <v>4704</v>
      </c>
      <c r="I19" s="105">
        <v>75.71</v>
      </c>
      <c r="J19" s="105">
        <v>1.26</v>
      </c>
      <c r="K19" s="105">
        <v>132</v>
      </c>
      <c r="L19" s="103">
        <v>7081.47</v>
      </c>
      <c r="M19" s="105">
        <v>129</v>
      </c>
      <c r="N19" s="103">
        <v>7045.97</v>
      </c>
      <c r="O19" s="103">
        <v>2968.04</v>
      </c>
      <c r="P19" s="105">
        <v>1.26</v>
      </c>
      <c r="Q19" s="105">
        <v>1.69</v>
      </c>
      <c r="R19" s="105">
        <v>147</v>
      </c>
      <c r="S19" s="104">
        <v>0.0313</v>
      </c>
      <c r="T19" s="105">
        <v>54.18</v>
      </c>
      <c r="U19" s="105">
        <v>54.62</v>
      </c>
      <c r="V19" s="103">
        <v>5939</v>
      </c>
      <c r="W19" s="105">
        <v>24</v>
      </c>
      <c r="X19" s="104">
        <v>0.4615</v>
      </c>
      <c r="Y19" s="105">
        <v>5.41</v>
      </c>
      <c r="Z19" s="102">
        <v>1091.19</v>
      </c>
      <c r="AA19" s="104">
        <v>0.1549</v>
      </c>
      <c r="AB19" s="104">
        <v>0.8451</v>
      </c>
      <c r="AC19" s="105">
        <v>1.03</v>
      </c>
      <c r="AD19" s="105">
        <v>76.58</v>
      </c>
      <c r="AE19" s="105">
        <v>74</v>
      </c>
      <c r="AF19" s="110">
        <f t="shared" si="0"/>
        <v>0.0757136881334018</v>
      </c>
      <c r="AG19" s="111">
        <f t="shared" si="1"/>
        <v>1.34096986024583</v>
      </c>
      <c r="AH19" s="112">
        <f t="shared" si="2"/>
        <v>1.68614413200876</v>
      </c>
      <c r="AI19" s="113">
        <f t="shared" si="3"/>
        <v>0.0564618865628506</v>
      </c>
      <c r="AJ19" s="113">
        <f t="shared" si="4"/>
        <v>0.0247516416905203</v>
      </c>
      <c r="AK19" s="113">
        <f t="shared" si="5"/>
        <v>0.013574125858488</v>
      </c>
      <c r="AL19" s="114">
        <f t="shared" si="6"/>
        <v>0.0156981824739609</v>
      </c>
    </row>
    <row r="20" ht="14.5" outlineLevel="1" spans="1:40">
      <c r="A20" s="101" t="s">
        <v>216</v>
      </c>
      <c r="B20" s="101" t="s">
        <v>217</v>
      </c>
      <c r="C20" s="109">
        <v>45511</v>
      </c>
      <c r="D20" s="101" t="s">
        <v>235</v>
      </c>
      <c r="E20" s="102">
        <v>11548.46</v>
      </c>
      <c r="F20" s="103">
        <v>164909</v>
      </c>
      <c r="G20" s="104">
        <v>0.0341</v>
      </c>
      <c r="H20" s="103">
        <v>5631</v>
      </c>
      <c r="I20" s="105">
        <v>70.03</v>
      </c>
      <c r="J20" s="105">
        <v>1.21</v>
      </c>
      <c r="K20" s="105">
        <v>178</v>
      </c>
      <c r="L20" s="103">
        <v>9782.36</v>
      </c>
      <c r="M20" s="105">
        <v>176</v>
      </c>
      <c r="N20" s="103">
        <v>9622.56</v>
      </c>
      <c r="O20" s="103">
        <v>4146.99</v>
      </c>
      <c r="P20" s="105">
        <v>1.19</v>
      </c>
      <c r="Q20" s="105">
        <v>2.05</v>
      </c>
      <c r="R20" s="105">
        <v>201</v>
      </c>
      <c r="S20" s="104">
        <v>0.0357</v>
      </c>
      <c r="T20" s="105">
        <v>57.46</v>
      </c>
      <c r="U20" s="105">
        <v>54.67</v>
      </c>
      <c r="V20" s="103">
        <v>6489</v>
      </c>
      <c r="W20" s="105">
        <v>19</v>
      </c>
      <c r="X20" s="104">
        <v>0.3878</v>
      </c>
      <c r="Y20" s="105">
        <v>6.72</v>
      </c>
      <c r="Z20" s="102">
        <v>1585.1</v>
      </c>
      <c r="AA20" s="104">
        <v>0.1647</v>
      </c>
      <c r="AB20" s="104">
        <v>0.8353</v>
      </c>
      <c r="AC20" s="105">
        <v>0.99</v>
      </c>
      <c r="AD20" s="105">
        <v>79.64</v>
      </c>
      <c r="AE20" s="105">
        <v>59</v>
      </c>
      <c r="AF20" s="110">
        <f t="shared" si="0"/>
        <v>0.0700292888805341</v>
      </c>
      <c r="AG20" s="111">
        <f t="shared" si="1"/>
        <v>1.77969795037756</v>
      </c>
      <c r="AH20" s="112">
        <f t="shared" si="2"/>
        <v>2.12198335644938</v>
      </c>
      <c r="AI20" s="113">
        <f t="shared" si="3"/>
        <v>0.0393489742827863</v>
      </c>
      <c r="AJ20" s="113">
        <f t="shared" si="4"/>
        <v>0.0309754969949145</v>
      </c>
      <c r="AK20" s="113">
        <f t="shared" si="5"/>
        <v>0.019683557991029</v>
      </c>
      <c r="AL20" s="114">
        <f t="shared" si="6"/>
        <v>0.0215854496334962</v>
      </c>
    </row>
    <row r="21" ht="14.5" outlineLevel="1" spans="1:40">
      <c r="A21" s="101" t="s">
        <v>216</v>
      </c>
      <c r="B21" s="101" t="s">
        <v>217</v>
      </c>
      <c r="C21" s="109">
        <v>45511</v>
      </c>
      <c r="D21" s="101" t="s">
        <v>236</v>
      </c>
      <c r="E21" s="102">
        <v>9309.7</v>
      </c>
      <c r="F21" s="103">
        <v>160525</v>
      </c>
      <c r="G21" s="104">
        <v>0.0336</v>
      </c>
      <c r="H21" s="103">
        <v>5398</v>
      </c>
      <c r="I21" s="105">
        <v>58</v>
      </c>
      <c r="J21" s="105">
        <v>0.85</v>
      </c>
      <c r="K21" s="105">
        <v>105</v>
      </c>
      <c r="L21" s="103">
        <v>5661.89</v>
      </c>
      <c r="M21" s="105">
        <v>102</v>
      </c>
      <c r="N21" s="103">
        <v>5519.18</v>
      </c>
      <c r="O21" s="103">
        <v>2208.03</v>
      </c>
      <c r="P21" s="105">
        <v>0.83</v>
      </c>
      <c r="Q21" s="105">
        <v>1.72</v>
      </c>
      <c r="R21" s="105">
        <v>106</v>
      </c>
      <c r="S21" s="104">
        <v>0.0196</v>
      </c>
      <c r="T21" s="105">
        <v>87.83</v>
      </c>
      <c r="U21" s="105">
        <v>54.11</v>
      </c>
      <c r="V21" s="103">
        <v>6733</v>
      </c>
      <c r="W21" s="105">
        <v>12</v>
      </c>
      <c r="X21" s="104">
        <v>0.3243</v>
      </c>
      <c r="Y21" s="105">
        <v>10.39</v>
      </c>
      <c r="Z21" s="102">
        <v>1237.11</v>
      </c>
      <c r="AA21" s="104">
        <v>0.2241</v>
      </c>
      <c r="AB21" s="104">
        <v>0.7759</v>
      </c>
      <c r="AC21" s="105">
        <v>0.65</v>
      </c>
      <c r="AD21" s="105">
        <v>120.91</v>
      </c>
      <c r="AE21" s="105">
        <v>61</v>
      </c>
      <c r="AF21" s="110">
        <f t="shared" si="0"/>
        <v>0.057995327830556</v>
      </c>
      <c r="AG21" s="111">
        <f t="shared" si="1"/>
        <v>1.3826971632259</v>
      </c>
      <c r="AH21" s="112">
        <f t="shared" si="2"/>
        <v>1.14766226050795</v>
      </c>
      <c r="AI21" s="113">
        <f t="shared" si="3"/>
        <v>0.0419436224887089</v>
      </c>
      <c r="AJ21" s="113">
        <f t="shared" si="4"/>
        <v>0.0157433536313679</v>
      </c>
      <c r="AK21" s="113">
        <f t="shared" si="5"/>
        <v>0.0158677451217809</v>
      </c>
      <c r="AL21" s="114">
        <f t="shared" si="6"/>
        <v>0.0121133444638676</v>
      </c>
    </row>
    <row r="22" ht="14.5" outlineLevel="1" spans="1:40">
      <c r="A22" s="101" t="s">
        <v>216</v>
      </c>
      <c r="B22" s="101" t="s">
        <v>217</v>
      </c>
      <c r="C22" s="109">
        <v>45511</v>
      </c>
      <c r="D22" s="101" t="s">
        <v>237</v>
      </c>
      <c r="E22" s="102">
        <v>5008.93</v>
      </c>
      <c r="F22" s="103">
        <v>82509</v>
      </c>
      <c r="G22" s="104">
        <v>0.0346</v>
      </c>
      <c r="H22" s="103">
        <v>2856</v>
      </c>
      <c r="I22" s="105">
        <v>60.71</v>
      </c>
      <c r="J22" s="105">
        <v>1.3</v>
      </c>
      <c r="K22" s="105">
        <v>81</v>
      </c>
      <c r="L22" s="103">
        <v>4743.19</v>
      </c>
      <c r="M22" s="105">
        <v>81</v>
      </c>
      <c r="N22" s="103">
        <v>4743.19</v>
      </c>
      <c r="O22" s="103">
        <v>1793.01</v>
      </c>
      <c r="P22" s="105">
        <v>1.3</v>
      </c>
      <c r="Q22" s="105">
        <v>1.75</v>
      </c>
      <c r="R22" s="105">
        <v>94</v>
      </c>
      <c r="S22" s="104">
        <v>0.0329</v>
      </c>
      <c r="T22" s="105">
        <v>53.29</v>
      </c>
      <c r="U22" s="105">
        <v>58.56</v>
      </c>
      <c r="V22" s="103">
        <v>3723</v>
      </c>
      <c r="W22" s="105">
        <v>14</v>
      </c>
      <c r="X22" s="104">
        <v>0.35</v>
      </c>
      <c r="Y22" s="105">
        <v>9.08</v>
      </c>
      <c r="Z22" s="102">
        <v>809.9</v>
      </c>
      <c r="AA22" s="104">
        <v>0.1708</v>
      </c>
      <c r="AB22" s="104">
        <v>0.8292</v>
      </c>
      <c r="AC22" s="105">
        <v>1.08</v>
      </c>
      <c r="AD22" s="105">
        <v>74.76</v>
      </c>
      <c r="AE22" s="105">
        <v>25</v>
      </c>
      <c r="AF22" s="110">
        <f t="shared" si="0"/>
        <v>0.0607076803742622</v>
      </c>
      <c r="AG22" s="111">
        <f t="shared" si="1"/>
        <v>1.34540155788343</v>
      </c>
      <c r="AH22" s="112">
        <f t="shared" si="2"/>
        <v>1.7556271823798</v>
      </c>
      <c r="AI22" s="113">
        <f t="shared" si="3"/>
        <v>0.0451223502890594</v>
      </c>
      <c r="AJ22" s="113">
        <f t="shared" si="4"/>
        <v>0.0252484555466022</v>
      </c>
      <c r="AK22" s="113">
        <f t="shared" si="5"/>
        <v>0.00853737763546003</v>
      </c>
      <c r="AL22" s="114">
        <f t="shared" si="6"/>
        <v>0.0102462909749744</v>
      </c>
    </row>
    <row r="23" ht="14.5" outlineLevel="1" spans="1:40">
      <c r="A23" s="101" t="s">
        <v>216</v>
      </c>
      <c r="B23" s="101" t="s">
        <v>217</v>
      </c>
      <c r="C23" s="109">
        <v>45511</v>
      </c>
      <c r="D23" s="101" t="s">
        <v>238</v>
      </c>
      <c r="E23" s="102">
        <v>7417.56</v>
      </c>
      <c r="F23" s="103">
        <v>112007</v>
      </c>
      <c r="G23" s="104">
        <v>0.0313</v>
      </c>
      <c r="H23" s="103">
        <v>3511</v>
      </c>
      <c r="I23" s="105">
        <v>66.22</v>
      </c>
      <c r="J23" s="105">
        <v>1.03</v>
      </c>
      <c r="K23" s="105">
        <v>102</v>
      </c>
      <c r="L23" s="103">
        <v>5807.9</v>
      </c>
      <c r="M23" s="105">
        <v>99</v>
      </c>
      <c r="N23" s="103">
        <v>5707.2</v>
      </c>
      <c r="O23" s="103">
        <v>1800.99</v>
      </c>
      <c r="P23" s="105">
        <v>1.01</v>
      </c>
      <c r="Q23" s="105">
        <v>2.11</v>
      </c>
      <c r="R23" s="105">
        <v>145</v>
      </c>
      <c r="S23" s="104">
        <v>0.0413</v>
      </c>
      <c r="T23" s="105">
        <v>51.16</v>
      </c>
      <c r="U23" s="105">
        <v>57.65</v>
      </c>
      <c r="V23" s="103">
        <v>4316</v>
      </c>
      <c r="W23" s="105">
        <v>30</v>
      </c>
      <c r="X23" s="104">
        <v>0.5</v>
      </c>
      <c r="Y23" s="105">
        <v>6.76</v>
      </c>
      <c r="Z23" s="102">
        <v>812.01</v>
      </c>
      <c r="AA23" s="104">
        <v>0.1423</v>
      </c>
      <c r="AB23" s="104">
        <v>0.8577</v>
      </c>
      <c r="AC23" s="105">
        <v>0.87</v>
      </c>
      <c r="AD23" s="105">
        <v>87.27</v>
      </c>
      <c r="AE23" s="105">
        <v>44</v>
      </c>
      <c r="AF23" s="110">
        <f t="shared" si="0"/>
        <v>0.0662240752810092</v>
      </c>
      <c r="AG23" s="111">
        <f t="shared" si="1"/>
        <v>1.71861909175162</v>
      </c>
      <c r="AH23" s="112">
        <f t="shared" si="2"/>
        <v>1.73961770157553</v>
      </c>
      <c r="AI23" s="113">
        <f t="shared" si="3"/>
        <v>0.0385333059540922</v>
      </c>
      <c r="AJ23" s="113">
        <f t="shared" si="4"/>
        <v>0.033595922150139</v>
      </c>
      <c r="AK23" s="113">
        <f t="shared" si="5"/>
        <v>0.0126427222687646</v>
      </c>
      <c r="AL23" s="114">
        <f t="shared" si="6"/>
        <v>0.0117700038914649</v>
      </c>
    </row>
    <row r="24" s="96" customFormat="1" ht="14.5" outlineLevel="1" spans="1:40">
      <c r="A24" s="115" t="s">
        <v>216</v>
      </c>
      <c r="B24" s="115" t="s">
        <v>217</v>
      </c>
      <c r="C24" s="116">
        <v>45511</v>
      </c>
      <c r="D24" s="115" t="s">
        <v>239</v>
      </c>
      <c r="E24" s="117">
        <v>30626.6</v>
      </c>
      <c r="F24" s="118">
        <v>498532</v>
      </c>
      <c r="G24" s="119">
        <v>0.0373</v>
      </c>
      <c r="H24" s="118">
        <v>18578</v>
      </c>
      <c r="I24" s="120">
        <v>61.43</v>
      </c>
      <c r="J24" s="120">
        <v>1.41</v>
      </c>
      <c r="K24" s="120">
        <v>509</v>
      </c>
      <c r="L24" s="118">
        <v>35967.99</v>
      </c>
      <c r="M24" s="120">
        <v>504</v>
      </c>
      <c r="N24" s="118">
        <v>35668.89</v>
      </c>
      <c r="O24" s="118">
        <v>7187.05</v>
      </c>
      <c r="P24" s="120">
        <v>1.4</v>
      </c>
      <c r="Q24" s="120">
        <v>1.65</v>
      </c>
      <c r="R24" s="121">
        <v>1109</v>
      </c>
      <c r="S24" s="119">
        <v>0.0597</v>
      </c>
      <c r="T24" s="120">
        <v>27.62</v>
      </c>
      <c r="U24" s="120">
        <v>70.77</v>
      </c>
      <c r="V24" s="118">
        <v>23874</v>
      </c>
      <c r="W24" s="120">
        <v>610</v>
      </c>
      <c r="X24" s="119">
        <v>0.3421</v>
      </c>
      <c r="Y24" s="120">
        <v>8.07</v>
      </c>
      <c r="Z24" s="117">
        <v>11180.59</v>
      </c>
      <c r="AA24" s="119">
        <v>0.3135</v>
      </c>
      <c r="AB24" s="119">
        <v>0.6865</v>
      </c>
      <c r="AC24" s="120">
        <v>0.98</v>
      </c>
      <c r="AD24" s="120">
        <v>75.07</v>
      </c>
      <c r="AE24" s="120">
        <v>211</v>
      </c>
      <c r="AF24" s="122">
        <f t="shared" si="0"/>
        <v>0.061433568958462</v>
      </c>
      <c r="AG24" s="123">
        <f t="shared" si="1"/>
        <v>1.2828432604507</v>
      </c>
      <c r="AH24" s="124">
        <f t="shared" si="2"/>
        <v>1.79508838066516</v>
      </c>
      <c r="AI24" s="125">
        <f t="shared" si="3"/>
        <v>0.0478886009323373</v>
      </c>
      <c r="AJ24" s="125">
        <f t="shared" si="4"/>
        <v>0.0464522074223004</v>
      </c>
      <c r="AK24" s="125">
        <f t="shared" si="5"/>
        <v>0.052200939100802</v>
      </c>
      <c r="AL24" s="126">
        <f t="shared" si="6"/>
        <v>0.0671819147587348</v>
      </c>
      <c r="AM24" s="127">
        <f>E24/(SUM($E$24:$E$27))</f>
        <v>0.0632043629265981</v>
      </c>
      <c r="AN24" s="127">
        <f>(N24+O24)/SUM($N$24:$O$27)</f>
        <v>0.0832163029618257</v>
      </c>
    </row>
    <row r="25" s="96" customFormat="1" ht="14.5" outlineLevel="1" spans="1:40">
      <c r="A25" s="115" t="s">
        <v>216</v>
      </c>
      <c r="B25" s="115" t="s">
        <v>217</v>
      </c>
      <c r="C25" s="116">
        <v>45511</v>
      </c>
      <c r="D25" s="115" t="s">
        <v>240</v>
      </c>
      <c r="E25" s="117">
        <v>167779.99</v>
      </c>
      <c r="F25" s="118">
        <v>2696707</v>
      </c>
      <c r="G25" s="119">
        <v>0.0418</v>
      </c>
      <c r="H25" s="118">
        <v>112816</v>
      </c>
      <c r="I25" s="120">
        <v>62.22</v>
      </c>
      <c r="J25" s="120">
        <v>1.01</v>
      </c>
      <c r="K25" s="121">
        <v>2228</v>
      </c>
      <c r="L25" s="118">
        <v>130831</v>
      </c>
      <c r="M25" s="121">
        <v>2214</v>
      </c>
      <c r="N25" s="118">
        <v>130025.6</v>
      </c>
      <c r="O25" s="118">
        <v>38369.76</v>
      </c>
      <c r="P25" s="120">
        <v>1</v>
      </c>
      <c r="Q25" s="120">
        <v>1.49</v>
      </c>
      <c r="R25" s="121">
        <v>4543</v>
      </c>
      <c r="S25" s="119">
        <v>0.0403</v>
      </c>
      <c r="T25" s="120">
        <v>36.93</v>
      </c>
      <c r="U25" s="120">
        <v>58.73</v>
      </c>
      <c r="V25" s="118">
        <v>149087</v>
      </c>
      <c r="W25" s="121">
        <v>2368</v>
      </c>
      <c r="X25" s="119">
        <v>0.3532</v>
      </c>
      <c r="Y25" s="120">
        <v>6.88</v>
      </c>
      <c r="Z25" s="117">
        <v>22264.25</v>
      </c>
      <c r="AA25" s="119">
        <v>0.1712</v>
      </c>
      <c r="AB25" s="119">
        <v>0.8288</v>
      </c>
      <c r="AC25" s="120">
        <v>0.84</v>
      </c>
      <c r="AD25" s="120">
        <v>91.48</v>
      </c>
      <c r="AE25" s="121">
        <v>1014</v>
      </c>
      <c r="AF25" s="122">
        <f t="shared" si="0"/>
        <v>0.0622166182681322</v>
      </c>
      <c r="AG25" s="123">
        <f t="shared" si="1"/>
        <v>1.12538309845929</v>
      </c>
      <c r="AH25" s="124">
        <f t="shared" si="2"/>
        <v>1.12951068839</v>
      </c>
      <c r="AI25" s="125">
        <f t="shared" si="3"/>
        <v>0.0552848344295469</v>
      </c>
      <c r="AJ25" s="125">
        <f t="shared" si="4"/>
        <v>0.0304721404280722</v>
      </c>
      <c r="AK25" s="125">
        <f t="shared" si="5"/>
        <v>0.285969485359889</v>
      </c>
      <c r="AL25" s="126">
        <f t="shared" si="6"/>
        <v>0.263980272543</v>
      </c>
      <c r="AM25" s="127">
        <f>E25/(SUM($E$24:$E$27))</f>
        <v>0.346248926742799</v>
      </c>
      <c r="AN25" s="127">
        <f>(N25+O25)/SUM($N$24:$O$27)</f>
        <v>0.326984760925223</v>
      </c>
    </row>
    <row r="26" s="96" customFormat="1" ht="14.5" outlineLevel="1" spans="1:40">
      <c r="A26" s="115" t="s">
        <v>216</v>
      </c>
      <c r="B26" s="115" t="s">
        <v>217</v>
      </c>
      <c r="C26" s="116">
        <v>45511</v>
      </c>
      <c r="D26" s="115" t="s">
        <v>241</v>
      </c>
      <c r="E26" s="117">
        <v>204728.84</v>
      </c>
      <c r="F26" s="118">
        <v>3383566</v>
      </c>
      <c r="G26" s="119">
        <v>0.0398</v>
      </c>
      <c r="H26" s="118">
        <v>134579</v>
      </c>
      <c r="I26" s="120">
        <v>60.51</v>
      </c>
      <c r="J26" s="120">
        <v>1.12</v>
      </c>
      <c r="K26" s="121">
        <v>2956</v>
      </c>
      <c r="L26" s="118">
        <v>168376</v>
      </c>
      <c r="M26" s="121">
        <v>2936</v>
      </c>
      <c r="N26" s="118">
        <v>167422.3</v>
      </c>
      <c r="O26" s="118">
        <v>60016.51</v>
      </c>
      <c r="P26" s="120">
        <v>1.11</v>
      </c>
      <c r="Q26" s="120">
        <v>1.52</v>
      </c>
      <c r="R26" s="121">
        <v>5117</v>
      </c>
      <c r="S26" s="119">
        <v>0.038</v>
      </c>
      <c r="T26" s="120">
        <v>40.01</v>
      </c>
      <c r="U26" s="120">
        <v>57.02</v>
      </c>
      <c r="V26" s="118">
        <v>192680</v>
      </c>
      <c r="W26" s="121">
        <v>2300</v>
      </c>
      <c r="X26" s="119">
        <v>0.4336</v>
      </c>
      <c r="Y26" s="120">
        <v>1.94</v>
      </c>
      <c r="Z26" s="117">
        <v>25876.07</v>
      </c>
      <c r="AA26" s="119">
        <v>0.1546</v>
      </c>
      <c r="AB26" s="119">
        <v>0.8454</v>
      </c>
      <c r="AC26" s="120">
        <v>0.94</v>
      </c>
      <c r="AD26" s="120">
        <v>82.52</v>
      </c>
      <c r="AE26" s="121">
        <v>1316</v>
      </c>
      <c r="AF26" s="122">
        <f t="shared" si="0"/>
        <v>0.060506826230078</v>
      </c>
      <c r="AG26" s="123">
        <f t="shared" si="1"/>
        <v>1.06253290429728</v>
      </c>
      <c r="AH26" s="124">
        <f t="shared" si="2"/>
        <v>1.18039656425161</v>
      </c>
      <c r="AI26" s="125">
        <f t="shared" si="3"/>
        <v>0.05694583761629</v>
      </c>
      <c r="AJ26" s="125">
        <f t="shared" si="4"/>
        <v>0.0265569856757318</v>
      </c>
      <c r="AK26" s="125">
        <f t="shared" si="5"/>
        <v>0.348946265958932</v>
      </c>
      <c r="AL26" s="126">
        <f t="shared" si="6"/>
        <v>0.35653808424802</v>
      </c>
      <c r="AM26" s="127">
        <f>E26/(SUM($E$24:$E$27))</f>
        <v>0.422500568293622</v>
      </c>
      <c r="AN26" s="127">
        <f>(N26+O26)/SUM($N$24:$O$27)</f>
        <v>0.441633456604548</v>
      </c>
    </row>
    <row r="27" s="96" customFormat="1" ht="14.5" outlineLevel="1" spans="1:40">
      <c r="A27" s="115" t="s">
        <v>216</v>
      </c>
      <c r="B27" s="115" t="s">
        <v>217</v>
      </c>
      <c r="C27" s="116">
        <v>45511</v>
      </c>
      <c r="D27" s="115" t="s">
        <v>242</v>
      </c>
      <c r="E27" s="117">
        <v>81429.22</v>
      </c>
      <c r="F27" s="118">
        <v>1633056</v>
      </c>
      <c r="G27" s="119">
        <v>0.023</v>
      </c>
      <c r="H27" s="118">
        <v>37486</v>
      </c>
      <c r="I27" s="120">
        <v>49.86</v>
      </c>
      <c r="J27" s="120">
        <v>0.94</v>
      </c>
      <c r="K27" s="120">
        <v>977</v>
      </c>
      <c r="L27" s="118">
        <v>60365.7</v>
      </c>
      <c r="M27" s="120">
        <v>968</v>
      </c>
      <c r="N27" s="118">
        <v>59755.7</v>
      </c>
      <c r="O27" s="118">
        <v>16548.71</v>
      </c>
      <c r="P27" s="120">
        <v>0.94</v>
      </c>
      <c r="Q27" s="120">
        <v>2.17</v>
      </c>
      <c r="R27" s="121">
        <v>1779</v>
      </c>
      <c r="S27" s="119">
        <v>0.0475</v>
      </c>
      <c r="T27" s="120">
        <v>45.77</v>
      </c>
      <c r="U27" s="120">
        <v>61.73</v>
      </c>
      <c r="V27" s="118">
        <v>48677</v>
      </c>
      <c r="W27" s="120">
        <v>950</v>
      </c>
      <c r="X27" s="119">
        <v>0.4156</v>
      </c>
      <c r="Y27" s="120">
        <v>1.76</v>
      </c>
      <c r="Z27" s="117">
        <v>7933.92</v>
      </c>
      <c r="AA27" s="119">
        <v>0.1328</v>
      </c>
      <c r="AB27" s="119">
        <v>0.8672</v>
      </c>
      <c r="AC27" s="120">
        <v>0.82</v>
      </c>
      <c r="AD27" s="120">
        <v>97.52</v>
      </c>
      <c r="AE27" s="120">
        <v>359</v>
      </c>
      <c r="AF27" s="122">
        <f t="shared" si="0"/>
        <v>0.0498630910391315</v>
      </c>
      <c r="AG27" s="123">
        <f t="shared" si="1"/>
        <v>1.67284795694065</v>
      </c>
      <c r="AH27" s="124">
        <f t="shared" si="2"/>
        <v>1.56756599626107</v>
      </c>
      <c r="AI27" s="125">
        <f t="shared" si="3"/>
        <v>0.0298073060568652</v>
      </c>
      <c r="AJ27" s="125">
        <f t="shared" si="4"/>
        <v>0.0365470345337634</v>
      </c>
      <c r="AK27" s="125">
        <f t="shared" si="5"/>
        <v>0.13879052047063</v>
      </c>
      <c r="AL27" s="126">
        <f t="shared" si="6"/>
        <v>0.119616472496824</v>
      </c>
      <c r="AM27" s="127">
        <f>E27/(SUM($E$24:$E$27))</f>
        <v>0.168046142036981</v>
      </c>
      <c r="AN27" s="127">
        <f>(N27+O27)/SUM($N$24:$O$27)</f>
        <v>0.148165479508403</v>
      </c>
    </row>
    <row r="28" s="95" customFormat="1" ht="35" customHeight="1" spans="1:40">
      <c r="A28" s="99" t="s">
        <v>207</v>
      </c>
      <c r="B28" s="99" t="s">
        <v>208</v>
      </c>
      <c r="C28" s="99" t="s">
        <v>22</v>
      </c>
      <c r="D28" s="99" t="s">
        <v>209</v>
      </c>
      <c r="E28" s="100" t="s">
        <v>89</v>
      </c>
      <c r="F28" s="100" t="s">
        <v>90</v>
      </c>
      <c r="G28" s="99" t="s">
        <v>5</v>
      </c>
      <c r="H28" s="100" t="s">
        <v>91</v>
      </c>
      <c r="I28" s="99" t="s">
        <v>92</v>
      </c>
      <c r="J28" s="99" t="s">
        <v>93</v>
      </c>
      <c r="K28" s="99" t="s">
        <v>94</v>
      </c>
      <c r="L28" s="100" t="s">
        <v>95</v>
      </c>
      <c r="M28" s="99" t="s">
        <v>96</v>
      </c>
      <c r="N28" s="100" t="s">
        <v>97</v>
      </c>
      <c r="O28" s="100" t="s">
        <v>98</v>
      </c>
      <c r="P28" s="99" t="s">
        <v>99</v>
      </c>
      <c r="Q28" s="99" t="s">
        <v>9</v>
      </c>
      <c r="R28" s="99" t="s">
        <v>100</v>
      </c>
      <c r="S28" s="99" t="s">
        <v>11</v>
      </c>
      <c r="T28" s="99" t="s">
        <v>101</v>
      </c>
      <c r="U28" s="99" t="s">
        <v>102</v>
      </c>
      <c r="V28" s="100" t="s">
        <v>103</v>
      </c>
      <c r="W28" s="99" t="s">
        <v>104</v>
      </c>
      <c r="X28" s="99" t="s">
        <v>105</v>
      </c>
      <c r="Y28" s="99" t="s">
        <v>106</v>
      </c>
      <c r="Z28" s="100" t="s">
        <v>210</v>
      </c>
      <c r="AA28" s="99" t="s">
        <v>108</v>
      </c>
      <c r="AB28" s="99" t="s">
        <v>109</v>
      </c>
      <c r="AC28" s="99" t="s">
        <v>110</v>
      </c>
      <c r="AD28" s="99" t="s">
        <v>211</v>
      </c>
      <c r="AE28" s="99" t="s">
        <v>175</v>
      </c>
      <c r="AF28" s="99" t="s">
        <v>115</v>
      </c>
      <c r="AG28" s="99" t="s">
        <v>116</v>
      </c>
      <c r="AH28" s="99" t="s">
        <v>42</v>
      </c>
      <c r="AI28" s="99" t="s">
        <v>17</v>
      </c>
      <c r="AJ28" s="99" t="s">
        <v>118</v>
      </c>
      <c r="AK28" s="99" t="s">
        <v>212</v>
      </c>
      <c r="AL28" s="99" t="s">
        <v>213</v>
      </c>
      <c r="AM28" s="99" t="s">
        <v>214</v>
      </c>
      <c r="AN28" s="99" t="s">
        <v>215</v>
      </c>
    </row>
    <row r="29" ht="14.5" spans="1:40">
      <c r="A29" s="101" t="s">
        <v>216</v>
      </c>
      <c r="B29" s="101" t="s">
        <v>217</v>
      </c>
      <c r="C29" s="101" t="s">
        <v>218</v>
      </c>
      <c r="D29" s="101" t="s">
        <v>218</v>
      </c>
      <c r="E29" s="102">
        <v>1325914.97</v>
      </c>
      <c r="F29" s="103">
        <v>13704777</v>
      </c>
      <c r="G29" s="104">
        <v>0.053</v>
      </c>
      <c r="H29" s="103">
        <v>725932</v>
      </c>
      <c r="I29" s="105">
        <v>96.75</v>
      </c>
      <c r="J29" s="105">
        <v>1.27</v>
      </c>
      <c r="K29" s="106">
        <v>23176</v>
      </c>
      <c r="L29" s="103">
        <v>1164345.23</v>
      </c>
      <c r="M29" s="106">
        <v>22976</v>
      </c>
      <c r="N29" s="103">
        <v>1153262.93</v>
      </c>
      <c r="O29" s="103">
        <v>523880.61</v>
      </c>
      <c r="P29" s="105">
        <v>1.26</v>
      </c>
      <c r="Q29" s="105">
        <v>1.83</v>
      </c>
      <c r="R29" s="106">
        <v>23838</v>
      </c>
      <c r="S29" s="104">
        <v>0.0328</v>
      </c>
      <c r="T29" s="105">
        <v>55.62</v>
      </c>
      <c r="U29" s="105">
        <v>50.19</v>
      </c>
      <c r="V29" s="103">
        <v>798561</v>
      </c>
      <c r="W29" s="106">
        <v>1279</v>
      </c>
      <c r="X29" s="104">
        <v>0.4421</v>
      </c>
      <c r="Y29" s="105">
        <v>1.08</v>
      </c>
      <c r="Z29" s="102">
        <v>157479.28</v>
      </c>
      <c r="AA29" s="104">
        <v>0.1366</v>
      </c>
      <c r="AB29" s="104">
        <v>0.8634</v>
      </c>
      <c r="AC29" s="105">
        <v>1.1</v>
      </c>
      <c r="AD29" s="105">
        <v>66.54</v>
      </c>
      <c r="AE29" s="106">
        <v>6527</v>
      </c>
    </row>
    <row r="30" ht="14.5" spans="1:40">
      <c r="A30" s="101" t="s">
        <v>216</v>
      </c>
      <c r="B30" s="101" t="s">
        <v>217</v>
      </c>
      <c r="C30" s="109">
        <v>45582</v>
      </c>
      <c r="D30" s="101" t="s">
        <v>218</v>
      </c>
      <c r="E30" s="102">
        <v>1071632.95</v>
      </c>
      <c r="F30" s="103">
        <v>11139532</v>
      </c>
      <c r="G30" s="104">
        <v>0.0516</v>
      </c>
      <c r="H30" s="103">
        <v>574933</v>
      </c>
      <c r="I30" s="105">
        <v>96.2</v>
      </c>
      <c r="J30" s="105">
        <v>1.28</v>
      </c>
      <c r="K30" s="106">
        <v>18952</v>
      </c>
      <c r="L30" s="103">
        <v>946139.17</v>
      </c>
      <c r="M30" s="106">
        <v>18797</v>
      </c>
      <c r="N30" s="103">
        <v>937959.25</v>
      </c>
      <c r="O30" s="103">
        <v>420798.41</v>
      </c>
      <c r="P30" s="105">
        <v>1.27</v>
      </c>
      <c r="Q30" s="105">
        <v>1.86</v>
      </c>
      <c r="R30" s="106">
        <v>19653</v>
      </c>
      <c r="S30" s="104">
        <v>0.0342</v>
      </c>
      <c r="T30" s="105">
        <v>54.53</v>
      </c>
      <c r="U30" s="105">
        <v>49.9</v>
      </c>
      <c r="V30" s="103">
        <v>622103</v>
      </c>
      <c r="W30" s="106">
        <v>1211</v>
      </c>
      <c r="X30" s="104">
        <v>0.4402</v>
      </c>
      <c r="Y30" s="105">
        <v>1.13</v>
      </c>
      <c r="Z30" s="102">
        <v>135085.69</v>
      </c>
      <c r="AA30" s="104">
        <v>0.144</v>
      </c>
      <c r="AB30" s="104">
        <v>0.856</v>
      </c>
      <c r="AC30" s="105">
        <v>1.09</v>
      </c>
      <c r="AD30" s="105">
        <v>66.12</v>
      </c>
      <c r="AE30" s="106">
        <v>5502</v>
      </c>
    </row>
    <row r="31" ht="14.5" outlineLevel="1" spans="1:40">
      <c r="A31" s="101" t="s">
        <v>216</v>
      </c>
      <c r="B31" s="101" t="s">
        <v>217</v>
      </c>
      <c r="C31" s="109">
        <v>45582</v>
      </c>
      <c r="D31" s="101" t="s">
        <v>219</v>
      </c>
      <c r="E31" s="102">
        <v>50.52</v>
      </c>
      <c r="F31" s="103">
        <v>1870</v>
      </c>
      <c r="G31" s="104">
        <v>0.0225</v>
      </c>
      <c r="H31" s="103">
        <v>42</v>
      </c>
      <c r="I31" s="105">
        <v>27.02</v>
      </c>
      <c r="J31" s="105">
        <v>0</v>
      </c>
      <c r="K31" s="105">
        <v>0</v>
      </c>
      <c r="L31" s="103">
        <v>0</v>
      </c>
      <c r="M31" s="105">
        <v>0</v>
      </c>
      <c r="N31" s="103">
        <v>0</v>
      </c>
      <c r="O31" s="103">
        <v>0</v>
      </c>
      <c r="P31" s="105">
        <v>0</v>
      </c>
      <c r="Q31" s="105">
        <v>1.2</v>
      </c>
      <c r="R31" s="105">
        <v>0</v>
      </c>
      <c r="S31" s="104">
        <v>0</v>
      </c>
      <c r="T31" s="105">
        <v>0</v>
      </c>
      <c r="U31" s="105">
        <v>0</v>
      </c>
      <c r="V31" s="103">
        <v>46</v>
      </c>
      <c r="W31" s="105">
        <v>0</v>
      </c>
      <c r="X31" s="104">
        <v>0</v>
      </c>
      <c r="Y31" s="105">
        <v>0</v>
      </c>
      <c r="Z31" s="102">
        <v>0</v>
      </c>
      <c r="AA31" s="104">
        <v>0</v>
      </c>
      <c r="AB31" s="104">
        <v>0</v>
      </c>
      <c r="AC31" s="105">
        <v>0</v>
      </c>
      <c r="AD31" s="105">
        <v>0</v>
      </c>
      <c r="AE31" s="105">
        <v>0</v>
      </c>
      <c r="AF31" s="110">
        <f>E31/F31</f>
        <v>0.0270160427807487</v>
      </c>
      <c r="AG31" s="111">
        <f>E31/V31</f>
        <v>1.09826086956522</v>
      </c>
      <c r="AH31" s="112">
        <f>(N31+O31)/V31</f>
        <v>0</v>
      </c>
      <c r="AI31" s="113">
        <f>V31/F31</f>
        <v>0.0245989304812834</v>
      </c>
      <c r="AJ31" s="113">
        <f>R31/V31</f>
        <v>0</v>
      </c>
      <c r="AK31" s="113">
        <f>E31/$E$30</f>
        <v>4.71430073142115e-5</v>
      </c>
      <c r="AL31" s="113">
        <f>(N31+O31)/SUM($N$30:$O$30)</f>
        <v>0</v>
      </c>
    </row>
    <row r="32" ht="14.5" outlineLevel="1" spans="1:40">
      <c r="A32" s="101" t="s">
        <v>216</v>
      </c>
      <c r="B32" s="101" t="s">
        <v>217</v>
      </c>
      <c r="C32" s="109">
        <v>45582</v>
      </c>
      <c r="D32" s="101" t="s">
        <v>220</v>
      </c>
      <c r="E32" s="102">
        <v>0.64</v>
      </c>
      <c r="F32" s="103">
        <v>171</v>
      </c>
      <c r="G32" s="104">
        <v>0.0175</v>
      </c>
      <c r="H32" s="103">
        <v>3</v>
      </c>
      <c r="I32" s="105">
        <v>3.74</v>
      </c>
      <c r="J32" s="105">
        <v>0</v>
      </c>
      <c r="K32" s="105">
        <v>0</v>
      </c>
      <c r="L32" s="103">
        <v>0</v>
      </c>
      <c r="M32" s="105">
        <v>0</v>
      </c>
      <c r="N32" s="103">
        <v>0</v>
      </c>
      <c r="O32" s="103">
        <v>0</v>
      </c>
      <c r="P32" s="105">
        <v>0</v>
      </c>
      <c r="Q32" s="105">
        <v>0.21</v>
      </c>
      <c r="R32" s="105">
        <v>0</v>
      </c>
      <c r="S32" s="104">
        <v>0</v>
      </c>
      <c r="T32" s="105">
        <v>0</v>
      </c>
      <c r="U32" s="105">
        <v>0</v>
      </c>
      <c r="V32" s="103">
        <v>12</v>
      </c>
      <c r="W32" s="105">
        <v>0</v>
      </c>
      <c r="X32" s="104">
        <v>0</v>
      </c>
      <c r="Y32" s="105">
        <v>0</v>
      </c>
      <c r="Z32" s="102">
        <v>0</v>
      </c>
      <c r="AA32" s="104">
        <v>0</v>
      </c>
      <c r="AB32" s="104">
        <v>0</v>
      </c>
      <c r="AC32" s="105">
        <v>0</v>
      </c>
      <c r="AD32" s="105">
        <v>0</v>
      </c>
      <c r="AE32" s="105">
        <v>0</v>
      </c>
      <c r="AF32" s="110">
        <f t="shared" ref="AF32:AF54" si="7">E32/F32</f>
        <v>0.00374269005847953</v>
      </c>
      <c r="AG32" s="111">
        <f t="shared" ref="AG32:AG54" si="8">E32/V32</f>
        <v>0.0533333333333333</v>
      </c>
      <c r="AH32" s="112">
        <f t="shared" ref="AH32:AH54" si="9">(N32+O32)/V32</f>
        <v>0</v>
      </c>
      <c r="AI32" s="113">
        <f t="shared" ref="AI32:AI79" si="10">V32/F32</f>
        <v>0.0701754385964912</v>
      </c>
      <c r="AJ32" s="113">
        <f t="shared" ref="AJ32:AJ79" si="11">R32/V32</f>
        <v>0</v>
      </c>
      <c r="AK32" s="113">
        <f t="shared" ref="AK32:AK54" si="12">E32/$E$30</f>
        <v>5.97219411739813e-7</v>
      </c>
      <c r="AL32" s="113">
        <f t="shared" ref="AL32:AL54" si="13">(N32+O32)/SUM($N$30:$O$30)</f>
        <v>0</v>
      </c>
    </row>
    <row r="33" ht="14.5" outlineLevel="1" spans="1:38">
      <c r="A33" s="101" t="s">
        <v>216</v>
      </c>
      <c r="B33" s="101" t="s">
        <v>217</v>
      </c>
      <c r="C33" s="109">
        <v>45582</v>
      </c>
      <c r="D33" s="101" t="s">
        <v>221</v>
      </c>
      <c r="E33" s="102">
        <v>0.22</v>
      </c>
      <c r="F33" s="103">
        <v>68</v>
      </c>
      <c r="G33" s="104">
        <v>0.0147</v>
      </c>
      <c r="H33" s="103">
        <v>1</v>
      </c>
      <c r="I33" s="105">
        <v>3.24</v>
      </c>
      <c r="J33" s="105">
        <v>0</v>
      </c>
      <c r="K33" s="105">
        <v>0</v>
      </c>
      <c r="L33" s="103">
        <v>0</v>
      </c>
      <c r="M33" s="105">
        <v>0</v>
      </c>
      <c r="N33" s="103">
        <v>0</v>
      </c>
      <c r="O33" s="103">
        <v>0</v>
      </c>
      <c r="P33" s="105">
        <v>0</v>
      </c>
      <c r="Q33" s="105">
        <v>0.22</v>
      </c>
      <c r="R33" s="105">
        <v>0</v>
      </c>
      <c r="S33" s="104">
        <v>0</v>
      </c>
      <c r="T33" s="105">
        <v>0</v>
      </c>
      <c r="U33" s="105">
        <v>0</v>
      </c>
      <c r="V33" s="103">
        <v>6</v>
      </c>
      <c r="W33" s="105">
        <v>0</v>
      </c>
      <c r="X33" s="104">
        <v>0</v>
      </c>
      <c r="Y33" s="105">
        <v>0</v>
      </c>
      <c r="Z33" s="102">
        <v>0</v>
      </c>
      <c r="AA33" s="104">
        <v>0</v>
      </c>
      <c r="AB33" s="104">
        <v>0</v>
      </c>
      <c r="AC33" s="105">
        <v>0</v>
      </c>
      <c r="AD33" s="105">
        <v>0</v>
      </c>
      <c r="AE33" s="105">
        <v>0</v>
      </c>
      <c r="AF33" s="110">
        <f t="shared" si="7"/>
        <v>0.00323529411764706</v>
      </c>
      <c r="AG33" s="111">
        <f t="shared" si="8"/>
        <v>0.0366666666666667</v>
      </c>
      <c r="AH33" s="112">
        <f t="shared" si="9"/>
        <v>0</v>
      </c>
      <c r="AI33" s="113">
        <f t="shared" si="10"/>
        <v>0.0882352941176471</v>
      </c>
      <c r="AJ33" s="113">
        <f t="shared" si="11"/>
        <v>0</v>
      </c>
      <c r="AK33" s="113">
        <f t="shared" si="12"/>
        <v>2.05294172785561e-7</v>
      </c>
      <c r="AL33" s="113">
        <f t="shared" si="13"/>
        <v>0</v>
      </c>
    </row>
    <row r="34" ht="14.5" outlineLevel="1" spans="1:38">
      <c r="A34" s="101" t="s">
        <v>216</v>
      </c>
      <c r="B34" s="101" t="s">
        <v>217</v>
      </c>
      <c r="C34" s="109">
        <v>45582</v>
      </c>
      <c r="D34" s="101" t="s">
        <v>222</v>
      </c>
      <c r="E34" s="102">
        <v>0</v>
      </c>
      <c r="F34" s="103">
        <v>13</v>
      </c>
      <c r="G34" s="104">
        <v>0</v>
      </c>
      <c r="H34" s="103">
        <v>0</v>
      </c>
      <c r="I34" s="105">
        <v>0</v>
      </c>
      <c r="J34" s="105">
        <v>0</v>
      </c>
      <c r="K34" s="105">
        <v>0</v>
      </c>
      <c r="L34" s="103">
        <v>0</v>
      </c>
      <c r="M34" s="105">
        <v>0</v>
      </c>
      <c r="N34" s="103">
        <v>0</v>
      </c>
      <c r="O34" s="103">
        <v>0</v>
      </c>
      <c r="P34" s="105">
        <v>0</v>
      </c>
      <c r="Q34" s="105">
        <v>0</v>
      </c>
      <c r="R34" s="105">
        <v>0</v>
      </c>
      <c r="S34" s="104">
        <v>0</v>
      </c>
      <c r="T34" s="105">
        <v>0</v>
      </c>
      <c r="U34" s="105">
        <v>0</v>
      </c>
      <c r="V34" s="103">
        <v>1</v>
      </c>
      <c r="W34" s="105">
        <v>0</v>
      </c>
      <c r="X34" s="104">
        <v>0</v>
      </c>
      <c r="Y34" s="105">
        <v>0</v>
      </c>
      <c r="Z34" s="102">
        <v>0</v>
      </c>
      <c r="AA34" s="104">
        <v>0</v>
      </c>
      <c r="AB34" s="104">
        <v>0</v>
      </c>
      <c r="AC34" s="105">
        <v>0</v>
      </c>
      <c r="AD34" s="105">
        <v>0</v>
      </c>
      <c r="AE34" s="105">
        <v>0</v>
      </c>
      <c r="AF34" s="110">
        <f t="shared" si="7"/>
        <v>0</v>
      </c>
      <c r="AG34" s="111">
        <f t="shared" si="8"/>
        <v>0</v>
      </c>
      <c r="AH34" s="112">
        <f t="shared" si="9"/>
        <v>0</v>
      </c>
      <c r="AI34" s="113">
        <f t="shared" si="10"/>
        <v>0.0769230769230769</v>
      </c>
      <c r="AJ34" s="113">
        <f t="shared" si="11"/>
        <v>0</v>
      </c>
      <c r="AK34" s="113">
        <f t="shared" si="12"/>
        <v>0</v>
      </c>
      <c r="AL34" s="113">
        <f t="shared" si="13"/>
        <v>0</v>
      </c>
    </row>
    <row r="35" ht="14.5" outlineLevel="1" spans="1:38">
      <c r="A35" s="101" t="s">
        <v>216</v>
      </c>
      <c r="B35" s="101" t="s">
        <v>217</v>
      </c>
      <c r="C35" s="109">
        <v>45582</v>
      </c>
      <c r="D35" s="101" t="s">
        <v>223</v>
      </c>
      <c r="E35" s="102">
        <v>0</v>
      </c>
      <c r="F35" s="103">
        <v>7</v>
      </c>
      <c r="G35" s="104">
        <v>0</v>
      </c>
      <c r="H35" s="103">
        <v>0</v>
      </c>
      <c r="I35" s="105">
        <v>0</v>
      </c>
      <c r="J35" s="105">
        <v>0</v>
      </c>
      <c r="K35" s="105">
        <v>0</v>
      </c>
      <c r="L35" s="103">
        <v>0</v>
      </c>
      <c r="M35" s="105">
        <v>0</v>
      </c>
      <c r="N35" s="103">
        <v>0</v>
      </c>
      <c r="O35" s="103">
        <v>0</v>
      </c>
      <c r="P35" s="105">
        <v>0</v>
      </c>
      <c r="Q35" s="105">
        <v>0</v>
      </c>
      <c r="R35" s="105">
        <v>0</v>
      </c>
      <c r="S35" s="104">
        <v>0</v>
      </c>
      <c r="T35" s="105">
        <v>0</v>
      </c>
      <c r="U35" s="105">
        <v>0</v>
      </c>
      <c r="V35" s="103">
        <v>3</v>
      </c>
      <c r="W35" s="105">
        <v>0</v>
      </c>
      <c r="X35" s="104">
        <v>0</v>
      </c>
      <c r="Y35" s="105">
        <v>0</v>
      </c>
      <c r="Z35" s="102">
        <v>0</v>
      </c>
      <c r="AA35" s="104">
        <v>0</v>
      </c>
      <c r="AB35" s="104">
        <v>0</v>
      </c>
      <c r="AC35" s="105">
        <v>0</v>
      </c>
      <c r="AD35" s="105">
        <v>0</v>
      </c>
      <c r="AE35" s="105">
        <v>0</v>
      </c>
      <c r="AF35" s="110">
        <f t="shared" si="7"/>
        <v>0</v>
      </c>
      <c r="AG35" s="111">
        <f t="shared" si="8"/>
        <v>0</v>
      </c>
      <c r="AH35" s="112">
        <f t="shared" si="9"/>
        <v>0</v>
      </c>
      <c r="AI35" s="113">
        <f t="shared" si="10"/>
        <v>0.428571428571429</v>
      </c>
      <c r="AJ35" s="113">
        <f t="shared" si="11"/>
        <v>0</v>
      </c>
      <c r="AK35" s="113">
        <f t="shared" si="12"/>
        <v>0</v>
      </c>
      <c r="AL35" s="113">
        <f t="shared" si="13"/>
        <v>0</v>
      </c>
    </row>
    <row r="36" ht="14.5" outlineLevel="1" spans="1:38">
      <c r="A36" s="101" t="s">
        <v>216</v>
      </c>
      <c r="B36" s="101" t="s">
        <v>217</v>
      </c>
      <c r="C36" s="109">
        <v>45582</v>
      </c>
      <c r="D36" s="101" t="s">
        <v>224</v>
      </c>
      <c r="E36" s="102">
        <v>0</v>
      </c>
      <c r="F36" s="103">
        <v>19</v>
      </c>
      <c r="G36" s="104">
        <v>0</v>
      </c>
      <c r="H36" s="103">
        <v>0</v>
      </c>
      <c r="I36" s="105">
        <v>0</v>
      </c>
      <c r="J36" s="105">
        <v>0</v>
      </c>
      <c r="K36" s="105">
        <v>0</v>
      </c>
      <c r="L36" s="103">
        <v>0</v>
      </c>
      <c r="M36" s="105">
        <v>0</v>
      </c>
      <c r="N36" s="103">
        <v>0</v>
      </c>
      <c r="O36" s="103">
        <v>0</v>
      </c>
      <c r="P36" s="105">
        <v>0</v>
      </c>
      <c r="Q36" s="105">
        <v>0</v>
      </c>
      <c r="R36" s="105">
        <v>0</v>
      </c>
      <c r="S36" s="104">
        <v>0</v>
      </c>
      <c r="T36" s="105">
        <v>0</v>
      </c>
      <c r="U36" s="105">
        <v>0</v>
      </c>
      <c r="V36" s="103">
        <v>10</v>
      </c>
      <c r="W36" s="105">
        <v>0</v>
      </c>
      <c r="X36" s="104">
        <v>0</v>
      </c>
      <c r="Y36" s="105">
        <v>0</v>
      </c>
      <c r="Z36" s="102">
        <v>0</v>
      </c>
      <c r="AA36" s="104">
        <v>0</v>
      </c>
      <c r="AB36" s="104">
        <v>0</v>
      </c>
      <c r="AC36" s="105">
        <v>0</v>
      </c>
      <c r="AD36" s="105">
        <v>0</v>
      </c>
      <c r="AE36" s="105">
        <v>0</v>
      </c>
      <c r="AF36" s="110">
        <f t="shared" si="7"/>
        <v>0</v>
      </c>
      <c r="AG36" s="111">
        <f t="shared" si="8"/>
        <v>0</v>
      </c>
      <c r="AH36" s="112">
        <f t="shared" si="9"/>
        <v>0</v>
      </c>
      <c r="AI36" s="113">
        <f t="shared" si="10"/>
        <v>0.526315789473684</v>
      </c>
      <c r="AJ36" s="113">
        <f t="shared" si="11"/>
        <v>0</v>
      </c>
      <c r="AK36" s="113">
        <f t="shared" si="12"/>
        <v>0</v>
      </c>
      <c r="AL36" s="113">
        <f t="shared" si="13"/>
        <v>0</v>
      </c>
    </row>
    <row r="37" ht="14.5" outlineLevel="1" spans="1:38">
      <c r="A37" s="101" t="s">
        <v>216</v>
      </c>
      <c r="B37" s="101" t="s">
        <v>217</v>
      </c>
      <c r="C37" s="109">
        <v>45582</v>
      </c>
      <c r="D37" s="101" t="s">
        <v>225</v>
      </c>
      <c r="E37" s="102">
        <v>11777.49</v>
      </c>
      <c r="F37" s="103">
        <v>135361</v>
      </c>
      <c r="G37" s="104">
        <v>0.0672</v>
      </c>
      <c r="H37" s="103">
        <v>9091</v>
      </c>
      <c r="I37" s="105">
        <v>87.01</v>
      </c>
      <c r="J37" s="105">
        <v>1.37</v>
      </c>
      <c r="K37" s="105">
        <v>211</v>
      </c>
      <c r="L37" s="103">
        <v>11635</v>
      </c>
      <c r="M37" s="105">
        <v>209</v>
      </c>
      <c r="N37" s="103">
        <v>11495.2</v>
      </c>
      <c r="O37" s="103">
        <v>4467.05</v>
      </c>
      <c r="P37" s="105">
        <v>1.36</v>
      </c>
      <c r="Q37" s="105">
        <v>1.3</v>
      </c>
      <c r="R37" s="105">
        <v>235</v>
      </c>
      <c r="S37" s="104">
        <v>0.0258</v>
      </c>
      <c r="T37" s="105">
        <v>50.12</v>
      </c>
      <c r="U37" s="105">
        <v>55</v>
      </c>
      <c r="V37" s="103">
        <v>10050</v>
      </c>
      <c r="W37" s="105">
        <v>0</v>
      </c>
      <c r="X37" s="104">
        <v>0</v>
      </c>
      <c r="Y37" s="105">
        <v>0</v>
      </c>
      <c r="Z37" s="102">
        <v>1378.66</v>
      </c>
      <c r="AA37" s="104">
        <v>0.1199</v>
      </c>
      <c r="AB37" s="104">
        <v>0.8801</v>
      </c>
      <c r="AC37" s="105">
        <v>1.19</v>
      </c>
      <c r="AD37" s="105">
        <v>64.36</v>
      </c>
      <c r="AE37" s="105">
        <v>69</v>
      </c>
      <c r="AF37" s="110">
        <f t="shared" si="7"/>
        <v>0.0870080008274171</v>
      </c>
      <c r="AG37" s="111">
        <f t="shared" si="8"/>
        <v>1.17188955223881</v>
      </c>
      <c r="AH37" s="112">
        <f t="shared" si="9"/>
        <v>1.58828358208955</v>
      </c>
      <c r="AI37" s="113">
        <f t="shared" si="10"/>
        <v>0.0742459053937249</v>
      </c>
      <c r="AJ37" s="113">
        <f t="shared" si="11"/>
        <v>0.0233830845771144</v>
      </c>
      <c r="AK37" s="113">
        <f t="shared" si="12"/>
        <v>0.0109902275774555</v>
      </c>
      <c r="AL37" s="113">
        <f t="shared" si="13"/>
        <v>0.0117476798622059</v>
      </c>
    </row>
    <row r="38" ht="14.5" outlineLevel="1" spans="1:38">
      <c r="A38" s="101" t="s">
        <v>216</v>
      </c>
      <c r="B38" s="101" t="s">
        <v>217</v>
      </c>
      <c r="C38" s="109">
        <v>45582</v>
      </c>
      <c r="D38" s="101" t="s">
        <v>226</v>
      </c>
      <c r="E38" s="102">
        <v>11074.41</v>
      </c>
      <c r="F38" s="103">
        <v>126436</v>
      </c>
      <c r="G38" s="104">
        <v>0.0619</v>
      </c>
      <c r="H38" s="103">
        <v>7829</v>
      </c>
      <c r="I38" s="105">
        <v>87.59</v>
      </c>
      <c r="J38" s="105">
        <v>1.51</v>
      </c>
      <c r="K38" s="105">
        <v>218</v>
      </c>
      <c r="L38" s="103">
        <v>12090.76</v>
      </c>
      <c r="M38" s="105">
        <v>216</v>
      </c>
      <c r="N38" s="103">
        <v>12080.85</v>
      </c>
      <c r="O38" s="103">
        <v>4632.98</v>
      </c>
      <c r="P38" s="105">
        <v>1.51</v>
      </c>
      <c r="Q38" s="105">
        <v>1.41</v>
      </c>
      <c r="R38" s="105">
        <v>201</v>
      </c>
      <c r="S38" s="104">
        <v>0.0257</v>
      </c>
      <c r="T38" s="105">
        <v>55.1</v>
      </c>
      <c r="U38" s="105">
        <v>55.93</v>
      </c>
      <c r="V38" s="103">
        <v>8534</v>
      </c>
      <c r="W38" s="105">
        <v>0</v>
      </c>
      <c r="X38" s="104">
        <v>0</v>
      </c>
      <c r="Y38" s="105">
        <v>0</v>
      </c>
      <c r="Z38" s="102">
        <v>1479.45</v>
      </c>
      <c r="AA38" s="104">
        <v>0.1225</v>
      </c>
      <c r="AB38" s="104">
        <v>0.8775</v>
      </c>
      <c r="AC38" s="105">
        <v>1.33</v>
      </c>
      <c r="AD38" s="105">
        <v>58.29</v>
      </c>
      <c r="AE38" s="105">
        <v>65</v>
      </c>
      <c r="AF38" s="110">
        <f t="shared" si="7"/>
        <v>0.08758905691417</v>
      </c>
      <c r="AG38" s="111">
        <f t="shared" si="8"/>
        <v>1.29768104054371</v>
      </c>
      <c r="AH38" s="112">
        <f t="shared" si="9"/>
        <v>1.95849894539489</v>
      </c>
      <c r="AI38" s="113">
        <f t="shared" si="10"/>
        <v>0.0674965990698852</v>
      </c>
      <c r="AJ38" s="113">
        <f t="shared" si="11"/>
        <v>0.0235528474337942</v>
      </c>
      <c r="AK38" s="113">
        <f t="shared" si="12"/>
        <v>0.0103341447274461</v>
      </c>
      <c r="AL38" s="113">
        <f t="shared" si="13"/>
        <v>0.0123008174982432</v>
      </c>
    </row>
    <row r="39" ht="14.5" outlineLevel="1" spans="1:38">
      <c r="A39" s="101" t="s">
        <v>216</v>
      </c>
      <c r="B39" s="101" t="s">
        <v>217</v>
      </c>
      <c r="C39" s="109">
        <v>45582</v>
      </c>
      <c r="D39" s="101" t="s">
        <v>227</v>
      </c>
      <c r="E39" s="102">
        <v>35071.05</v>
      </c>
      <c r="F39" s="103">
        <v>286598</v>
      </c>
      <c r="G39" s="104">
        <v>0.0685</v>
      </c>
      <c r="H39" s="103">
        <v>19631</v>
      </c>
      <c r="I39" s="105">
        <v>122.37</v>
      </c>
      <c r="J39" s="105">
        <v>1.07</v>
      </c>
      <c r="K39" s="105">
        <v>488</v>
      </c>
      <c r="L39" s="103">
        <v>24464.43</v>
      </c>
      <c r="M39" s="105">
        <v>482</v>
      </c>
      <c r="N39" s="103">
        <v>24366.23</v>
      </c>
      <c r="O39" s="103">
        <v>13089.67</v>
      </c>
      <c r="P39" s="105">
        <v>1.07</v>
      </c>
      <c r="Q39" s="105">
        <v>1.79</v>
      </c>
      <c r="R39" s="105">
        <v>521</v>
      </c>
      <c r="S39" s="104">
        <v>0.0265</v>
      </c>
      <c r="T39" s="105">
        <v>67.31</v>
      </c>
      <c r="U39" s="105">
        <v>50.55</v>
      </c>
      <c r="V39" s="103">
        <v>20123</v>
      </c>
      <c r="W39" s="105">
        <v>0</v>
      </c>
      <c r="X39" s="104">
        <v>0</v>
      </c>
      <c r="Y39" s="105">
        <v>0</v>
      </c>
      <c r="Z39" s="102">
        <v>2727.76</v>
      </c>
      <c r="AA39" s="104">
        <v>0.1119</v>
      </c>
      <c r="AB39" s="104">
        <v>0.8881</v>
      </c>
      <c r="AC39" s="105">
        <v>0.94</v>
      </c>
      <c r="AD39" s="105">
        <v>83.5</v>
      </c>
      <c r="AE39" s="105">
        <v>167</v>
      </c>
      <c r="AF39" s="110">
        <f t="shared" si="7"/>
        <v>0.122370184020824</v>
      </c>
      <c r="AG39" s="111">
        <f t="shared" si="8"/>
        <v>1.74283407046663</v>
      </c>
      <c r="AH39" s="112">
        <f t="shared" si="9"/>
        <v>1.86134771157382</v>
      </c>
      <c r="AI39" s="113">
        <f t="shared" si="10"/>
        <v>0.0702133301697849</v>
      </c>
      <c r="AJ39" s="113">
        <f t="shared" si="11"/>
        <v>0.0258907717537147</v>
      </c>
      <c r="AK39" s="113">
        <f t="shared" si="12"/>
        <v>0.0327267372657774</v>
      </c>
      <c r="AL39" s="113">
        <f t="shared" si="13"/>
        <v>0.0275662843365314</v>
      </c>
    </row>
    <row r="40" ht="14.5" outlineLevel="1" spans="1:38">
      <c r="A40" s="101" t="s">
        <v>216</v>
      </c>
      <c r="B40" s="101" t="s">
        <v>217</v>
      </c>
      <c r="C40" s="109">
        <v>45582</v>
      </c>
      <c r="D40" s="101" t="s">
        <v>228</v>
      </c>
      <c r="E40" s="102">
        <v>25817.61</v>
      </c>
      <c r="F40" s="103">
        <v>255708</v>
      </c>
      <c r="G40" s="104">
        <v>0.0549</v>
      </c>
      <c r="H40" s="103">
        <v>14026</v>
      </c>
      <c r="I40" s="105">
        <v>100.97</v>
      </c>
      <c r="J40" s="105">
        <v>1.35</v>
      </c>
      <c r="K40" s="105">
        <v>449</v>
      </c>
      <c r="L40" s="103">
        <v>22989.34</v>
      </c>
      <c r="M40" s="105">
        <v>442</v>
      </c>
      <c r="N40" s="103">
        <v>22562</v>
      </c>
      <c r="O40" s="103">
        <v>11791.76</v>
      </c>
      <c r="P40" s="105">
        <v>1.33</v>
      </c>
      <c r="Q40" s="105">
        <v>1.84</v>
      </c>
      <c r="R40" s="105">
        <v>423</v>
      </c>
      <c r="S40" s="104">
        <v>0.0302</v>
      </c>
      <c r="T40" s="105">
        <v>61.03</v>
      </c>
      <c r="U40" s="105">
        <v>51.05</v>
      </c>
      <c r="V40" s="103">
        <v>15077</v>
      </c>
      <c r="W40" s="105">
        <v>0</v>
      </c>
      <c r="X40" s="104">
        <v>0</v>
      </c>
      <c r="Y40" s="105">
        <v>0</v>
      </c>
      <c r="Z40" s="102">
        <v>2023.31</v>
      </c>
      <c r="AA40" s="104">
        <v>0.0897</v>
      </c>
      <c r="AB40" s="104">
        <v>0.9103</v>
      </c>
      <c r="AC40" s="105">
        <v>1.22</v>
      </c>
      <c r="AD40" s="105">
        <v>64.22</v>
      </c>
      <c r="AE40" s="105">
        <v>124</v>
      </c>
      <c r="AF40" s="110">
        <f t="shared" si="7"/>
        <v>0.100965202496598</v>
      </c>
      <c r="AG40" s="111">
        <f t="shared" si="8"/>
        <v>1.71238376334815</v>
      </c>
      <c r="AH40" s="112">
        <f t="shared" si="9"/>
        <v>2.27855408900975</v>
      </c>
      <c r="AI40" s="113">
        <f t="shared" si="10"/>
        <v>0.0589617845354858</v>
      </c>
      <c r="AJ40" s="113">
        <f t="shared" si="11"/>
        <v>0.028055979306228</v>
      </c>
      <c r="AK40" s="113">
        <f t="shared" si="12"/>
        <v>0.0240918404011373</v>
      </c>
      <c r="AL40" s="113">
        <f t="shared" si="13"/>
        <v>0.0252832134907707</v>
      </c>
    </row>
    <row r="41" ht="14.5" outlineLevel="1" spans="1:38">
      <c r="A41" s="101" t="s">
        <v>216</v>
      </c>
      <c r="B41" s="101" t="s">
        <v>217</v>
      </c>
      <c r="C41" s="109">
        <v>45582</v>
      </c>
      <c r="D41" s="101" t="s">
        <v>229</v>
      </c>
      <c r="E41" s="102">
        <v>16161.05</v>
      </c>
      <c r="F41" s="103">
        <v>165013</v>
      </c>
      <c r="G41" s="104">
        <v>0.066</v>
      </c>
      <c r="H41" s="103">
        <v>10898</v>
      </c>
      <c r="I41" s="105">
        <v>97.94</v>
      </c>
      <c r="J41" s="105">
        <v>1.28</v>
      </c>
      <c r="K41" s="105">
        <v>271</v>
      </c>
      <c r="L41" s="103">
        <v>13390.26</v>
      </c>
      <c r="M41" s="105">
        <v>268</v>
      </c>
      <c r="N41" s="103">
        <v>13245.62</v>
      </c>
      <c r="O41" s="103">
        <v>7316.47</v>
      </c>
      <c r="P41" s="105">
        <v>1.27</v>
      </c>
      <c r="Q41" s="105">
        <v>1.48</v>
      </c>
      <c r="R41" s="105">
        <v>255</v>
      </c>
      <c r="S41" s="104">
        <v>0.0234</v>
      </c>
      <c r="T41" s="105">
        <v>63.38</v>
      </c>
      <c r="U41" s="105">
        <v>49.42</v>
      </c>
      <c r="V41" s="103">
        <v>11711</v>
      </c>
      <c r="W41" s="105">
        <v>0</v>
      </c>
      <c r="X41" s="104">
        <v>0</v>
      </c>
      <c r="Y41" s="105">
        <v>0</v>
      </c>
      <c r="Z41" s="102">
        <v>1748.2</v>
      </c>
      <c r="AA41" s="104">
        <v>0.132</v>
      </c>
      <c r="AB41" s="104">
        <v>0.868</v>
      </c>
      <c r="AC41" s="105">
        <v>1.1</v>
      </c>
      <c r="AD41" s="105">
        <v>70.57</v>
      </c>
      <c r="AE41" s="105">
        <v>65</v>
      </c>
      <c r="AF41" s="110">
        <f t="shared" si="7"/>
        <v>0.0979380412452352</v>
      </c>
      <c r="AG41" s="111">
        <f t="shared" si="8"/>
        <v>1.37998889932542</v>
      </c>
      <c r="AH41" s="112">
        <f t="shared" si="9"/>
        <v>1.75579284433439</v>
      </c>
      <c r="AI41" s="113">
        <f t="shared" si="10"/>
        <v>0.0709701659869222</v>
      </c>
      <c r="AJ41" s="113">
        <f t="shared" si="11"/>
        <v>0.0217744001366237</v>
      </c>
      <c r="AK41" s="113">
        <f t="shared" si="12"/>
        <v>0.0150807699595277</v>
      </c>
      <c r="AL41" s="113">
        <f t="shared" si="13"/>
        <v>0.0151330076034309</v>
      </c>
    </row>
    <row r="42" ht="14.5" outlineLevel="1" spans="1:38">
      <c r="A42" s="101" t="s">
        <v>216</v>
      </c>
      <c r="B42" s="101" t="s">
        <v>217</v>
      </c>
      <c r="C42" s="109">
        <v>45582</v>
      </c>
      <c r="D42" s="101" t="s">
        <v>230</v>
      </c>
      <c r="E42" s="102">
        <v>8162.78</v>
      </c>
      <c r="F42" s="103">
        <v>102797</v>
      </c>
      <c r="G42" s="104">
        <v>0.0589</v>
      </c>
      <c r="H42" s="103">
        <v>6053</v>
      </c>
      <c r="I42" s="105">
        <v>79.41</v>
      </c>
      <c r="J42" s="105">
        <v>1.25</v>
      </c>
      <c r="K42" s="105">
        <v>133</v>
      </c>
      <c r="L42" s="103">
        <v>6721.59</v>
      </c>
      <c r="M42" s="105">
        <v>132</v>
      </c>
      <c r="N42" s="103">
        <v>6686.09</v>
      </c>
      <c r="O42" s="103">
        <v>3516.81</v>
      </c>
      <c r="P42" s="105">
        <v>1.25</v>
      </c>
      <c r="Q42" s="105">
        <v>1.35</v>
      </c>
      <c r="R42" s="105">
        <v>135</v>
      </c>
      <c r="S42" s="104">
        <v>0.0223</v>
      </c>
      <c r="T42" s="105">
        <v>60.47</v>
      </c>
      <c r="U42" s="105">
        <v>50.65</v>
      </c>
      <c r="V42" s="103">
        <v>6608</v>
      </c>
      <c r="W42" s="105">
        <v>0</v>
      </c>
      <c r="X42" s="104">
        <v>0</v>
      </c>
      <c r="Y42" s="105">
        <v>0</v>
      </c>
      <c r="Z42" s="102">
        <v>833.9</v>
      </c>
      <c r="AA42" s="104">
        <v>0.1247</v>
      </c>
      <c r="AB42" s="104">
        <v>0.8753</v>
      </c>
      <c r="AC42" s="105">
        <v>1.1</v>
      </c>
      <c r="AD42" s="105">
        <v>70.37</v>
      </c>
      <c r="AE42" s="105">
        <v>48</v>
      </c>
      <c r="AF42" s="110">
        <f t="shared" si="7"/>
        <v>0.0794067920270047</v>
      </c>
      <c r="AG42" s="111">
        <f t="shared" si="8"/>
        <v>1.23528753026634</v>
      </c>
      <c r="AH42" s="112">
        <f t="shared" si="9"/>
        <v>1.54402239709443</v>
      </c>
      <c r="AI42" s="113">
        <f t="shared" si="10"/>
        <v>0.064282031576797</v>
      </c>
      <c r="AJ42" s="113">
        <f t="shared" si="11"/>
        <v>0.0204297820823245</v>
      </c>
      <c r="AK42" s="113">
        <f t="shared" si="12"/>
        <v>0.00761714167150236</v>
      </c>
      <c r="AL42" s="113">
        <f t="shared" si="13"/>
        <v>0.00750899170643866</v>
      </c>
    </row>
    <row r="43" ht="14.5" outlineLevel="1" spans="1:38">
      <c r="A43" s="101" t="s">
        <v>216</v>
      </c>
      <c r="B43" s="101" t="s">
        <v>217</v>
      </c>
      <c r="C43" s="109">
        <v>45582</v>
      </c>
      <c r="D43" s="101" t="s">
        <v>231</v>
      </c>
      <c r="E43" s="102">
        <v>14234.08</v>
      </c>
      <c r="F43" s="103">
        <v>149217</v>
      </c>
      <c r="G43" s="104">
        <v>0.06</v>
      </c>
      <c r="H43" s="103">
        <v>8960</v>
      </c>
      <c r="I43" s="105">
        <v>95.39</v>
      </c>
      <c r="J43" s="105">
        <v>1.33</v>
      </c>
      <c r="K43" s="105">
        <v>244</v>
      </c>
      <c r="L43" s="103">
        <v>12201.28</v>
      </c>
      <c r="M43" s="105">
        <v>242</v>
      </c>
      <c r="N43" s="103">
        <v>12041.48</v>
      </c>
      <c r="O43" s="103">
        <v>6711.72</v>
      </c>
      <c r="P43" s="105">
        <v>1.32</v>
      </c>
      <c r="Q43" s="105">
        <v>1.59</v>
      </c>
      <c r="R43" s="105">
        <v>239</v>
      </c>
      <c r="S43" s="104">
        <v>0.0267</v>
      </c>
      <c r="T43" s="105">
        <v>59.56</v>
      </c>
      <c r="U43" s="105">
        <v>49.76</v>
      </c>
      <c r="V43" s="103">
        <v>9119</v>
      </c>
      <c r="W43" s="105">
        <v>0</v>
      </c>
      <c r="X43" s="104">
        <v>0</v>
      </c>
      <c r="Y43" s="105">
        <v>0</v>
      </c>
      <c r="Z43" s="102">
        <v>999.19</v>
      </c>
      <c r="AA43" s="104">
        <v>0.083</v>
      </c>
      <c r="AB43" s="104">
        <v>0.917</v>
      </c>
      <c r="AC43" s="105">
        <v>1.2</v>
      </c>
      <c r="AD43" s="105">
        <v>65</v>
      </c>
      <c r="AE43" s="105">
        <v>52</v>
      </c>
      <c r="AF43" s="110">
        <f t="shared" si="7"/>
        <v>0.0953918119249147</v>
      </c>
      <c r="AG43" s="111">
        <f t="shared" si="8"/>
        <v>1.56092554008115</v>
      </c>
      <c r="AH43" s="112">
        <f t="shared" si="9"/>
        <v>2.05649742296304</v>
      </c>
      <c r="AI43" s="113">
        <f t="shared" si="10"/>
        <v>0.0611123397468117</v>
      </c>
      <c r="AJ43" s="113">
        <f t="shared" si="11"/>
        <v>0.026209014146288</v>
      </c>
      <c r="AK43" s="113">
        <f t="shared" si="12"/>
        <v>0.0132826076316522</v>
      </c>
      <c r="AL43" s="113">
        <f t="shared" si="13"/>
        <v>0.0138017253201723</v>
      </c>
    </row>
    <row r="44" ht="14.5" outlineLevel="1" spans="1:38">
      <c r="A44" s="101" t="s">
        <v>216</v>
      </c>
      <c r="B44" s="101" t="s">
        <v>217</v>
      </c>
      <c r="C44" s="109">
        <v>45582</v>
      </c>
      <c r="D44" s="101" t="s">
        <v>232</v>
      </c>
      <c r="E44" s="102">
        <v>20645.5</v>
      </c>
      <c r="F44" s="103">
        <v>227122</v>
      </c>
      <c r="G44" s="104">
        <v>0.0635</v>
      </c>
      <c r="H44" s="103">
        <v>14419</v>
      </c>
      <c r="I44" s="105">
        <v>90.9</v>
      </c>
      <c r="J44" s="105">
        <v>1.19</v>
      </c>
      <c r="K44" s="105">
        <v>324</v>
      </c>
      <c r="L44" s="103">
        <v>16205.82</v>
      </c>
      <c r="M44" s="105">
        <v>322</v>
      </c>
      <c r="N44" s="103">
        <v>16031.12</v>
      </c>
      <c r="O44" s="103">
        <v>8400.7</v>
      </c>
      <c r="P44" s="105">
        <v>1.18</v>
      </c>
      <c r="Q44" s="105">
        <v>1.43</v>
      </c>
      <c r="R44" s="105">
        <v>320</v>
      </c>
      <c r="S44" s="104">
        <v>0.0222</v>
      </c>
      <c r="T44" s="105">
        <v>64.52</v>
      </c>
      <c r="U44" s="105">
        <v>49.79</v>
      </c>
      <c r="V44" s="103">
        <v>14884</v>
      </c>
      <c r="W44" s="105">
        <v>0</v>
      </c>
      <c r="X44" s="104">
        <v>0</v>
      </c>
      <c r="Y44" s="105">
        <v>0</v>
      </c>
      <c r="Z44" s="102">
        <v>1284.09</v>
      </c>
      <c r="AA44" s="104">
        <v>0.0801</v>
      </c>
      <c r="AB44" s="104">
        <v>0.9199</v>
      </c>
      <c r="AC44" s="105">
        <v>1.09</v>
      </c>
      <c r="AD44" s="105">
        <v>69.75</v>
      </c>
      <c r="AE44" s="105">
        <v>92</v>
      </c>
      <c r="AF44" s="110">
        <f t="shared" si="7"/>
        <v>0.0909004852017858</v>
      </c>
      <c r="AG44" s="111">
        <f t="shared" si="8"/>
        <v>1.38709352324644</v>
      </c>
      <c r="AH44" s="112">
        <f t="shared" si="9"/>
        <v>1.64148212846009</v>
      </c>
      <c r="AI44" s="113">
        <f t="shared" si="10"/>
        <v>0.0655330615264043</v>
      </c>
      <c r="AJ44" s="113">
        <f t="shared" si="11"/>
        <v>0.0214995968825585</v>
      </c>
      <c r="AK44" s="113">
        <f t="shared" si="12"/>
        <v>0.0192654583829286</v>
      </c>
      <c r="AL44" s="113">
        <f t="shared" si="13"/>
        <v>0.0179809989074873</v>
      </c>
    </row>
    <row r="45" ht="14.5" outlineLevel="1" spans="1:38">
      <c r="A45" s="101" t="s">
        <v>216</v>
      </c>
      <c r="B45" s="101" t="s">
        <v>217</v>
      </c>
      <c r="C45" s="109">
        <v>45582</v>
      </c>
      <c r="D45" s="101" t="s">
        <v>233</v>
      </c>
      <c r="E45" s="102">
        <v>13216.48</v>
      </c>
      <c r="F45" s="103">
        <v>157027</v>
      </c>
      <c r="G45" s="104">
        <v>0.0614</v>
      </c>
      <c r="H45" s="103">
        <v>9649</v>
      </c>
      <c r="I45" s="105">
        <v>84.17</v>
      </c>
      <c r="J45" s="105">
        <v>1.31</v>
      </c>
      <c r="K45" s="105">
        <v>229</v>
      </c>
      <c r="L45" s="103">
        <v>11599.78</v>
      </c>
      <c r="M45" s="105">
        <v>228</v>
      </c>
      <c r="N45" s="103">
        <v>11559.38</v>
      </c>
      <c r="O45" s="103">
        <v>5779.11</v>
      </c>
      <c r="P45" s="105">
        <v>1.31</v>
      </c>
      <c r="Q45" s="105">
        <v>1.37</v>
      </c>
      <c r="R45" s="105">
        <v>236</v>
      </c>
      <c r="S45" s="104">
        <v>0.0245</v>
      </c>
      <c r="T45" s="105">
        <v>56</v>
      </c>
      <c r="U45" s="105">
        <v>50.7</v>
      </c>
      <c r="V45" s="103">
        <v>10163</v>
      </c>
      <c r="W45" s="105">
        <v>0</v>
      </c>
      <c r="X45" s="104">
        <v>0</v>
      </c>
      <c r="Y45" s="105">
        <v>0</v>
      </c>
      <c r="Z45" s="102">
        <v>1143.97</v>
      </c>
      <c r="AA45" s="104">
        <v>0.099</v>
      </c>
      <c r="AB45" s="104">
        <v>0.901</v>
      </c>
      <c r="AC45" s="105">
        <v>1.18</v>
      </c>
      <c r="AD45" s="105">
        <v>65.75</v>
      </c>
      <c r="AE45" s="105">
        <v>66</v>
      </c>
      <c r="AF45" s="110">
        <f t="shared" si="7"/>
        <v>0.0841669267068721</v>
      </c>
      <c r="AG45" s="111">
        <f t="shared" si="8"/>
        <v>1.30045065433435</v>
      </c>
      <c r="AH45" s="112">
        <f t="shared" si="9"/>
        <v>1.70604053921086</v>
      </c>
      <c r="AI45" s="113">
        <f t="shared" si="10"/>
        <v>0.0647213536525566</v>
      </c>
      <c r="AJ45" s="113">
        <f t="shared" si="11"/>
        <v>0.0232214897176031</v>
      </c>
      <c r="AK45" s="113">
        <f t="shared" si="12"/>
        <v>0.0123330287669859</v>
      </c>
      <c r="AL45" s="113">
        <f t="shared" si="13"/>
        <v>0.0127605462772515</v>
      </c>
    </row>
    <row r="46" ht="14.5" outlineLevel="1" spans="1:38">
      <c r="A46" s="101" t="s">
        <v>216</v>
      </c>
      <c r="B46" s="101" t="s">
        <v>217</v>
      </c>
      <c r="C46" s="109">
        <v>45582</v>
      </c>
      <c r="D46" s="101" t="s">
        <v>234</v>
      </c>
      <c r="E46" s="102">
        <v>15316.34</v>
      </c>
      <c r="F46" s="103">
        <v>166553</v>
      </c>
      <c r="G46" s="104">
        <v>0.0661</v>
      </c>
      <c r="H46" s="103">
        <v>11001</v>
      </c>
      <c r="I46" s="105">
        <v>91.96</v>
      </c>
      <c r="J46" s="105">
        <v>1.28</v>
      </c>
      <c r="K46" s="105">
        <v>268</v>
      </c>
      <c r="L46" s="103">
        <v>13620.25</v>
      </c>
      <c r="M46" s="105">
        <v>266</v>
      </c>
      <c r="N46" s="103">
        <v>13500.4</v>
      </c>
      <c r="O46" s="103">
        <v>5952.08</v>
      </c>
      <c r="P46" s="105">
        <v>1.27</v>
      </c>
      <c r="Q46" s="105">
        <v>1.39</v>
      </c>
      <c r="R46" s="105">
        <v>251</v>
      </c>
      <c r="S46" s="104">
        <v>0.0228</v>
      </c>
      <c r="T46" s="105">
        <v>61.02</v>
      </c>
      <c r="U46" s="105">
        <v>50.75</v>
      </c>
      <c r="V46" s="103">
        <v>11659</v>
      </c>
      <c r="W46" s="105">
        <v>0</v>
      </c>
      <c r="X46" s="104">
        <v>0</v>
      </c>
      <c r="Y46" s="105">
        <v>0</v>
      </c>
      <c r="Z46" s="102">
        <v>1471.32</v>
      </c>
      <c r="AA46" s="104">
        <v>0.109</v>
      </c>
      <c r="AB46" s="104">
        <v>0.891</v>
      </c>
      <c r="AC46" s="105">
        <v>1.13</v>
      </c>
      <c r="AD46" s="105">
        <v>65.74</v>
      </c>
      <c r="AE46" s="105">
        <v>83</v>
      </c>
      <c r="AF46" s="110">
        <f t="shared" si="7"/>
        <v>0.0919607572364353</v>
      </c>
      <c r="AG46" s="111">
        <f t="shared" si="8"/>
        <v>1.31369242645167</v>
      </c>
      <c r="AH46" s="112">
        <f t="shared" si="9"/>
        <v>1.66845183978043</v>
      </c>
      <c r="AI46" s="113">
        <f t="shared" si="10"/>
        <v>0.0700017411874899</v>
      </c>
      <c r="AJ46" s="113">
        <f t="shared" si="11"/>
        <v>0.0215284329702376</v>
      </c>
      <c r="AK46" s="113">
        <f t="shared" si="12"/>
        <v>0.0142925243200109</v>
      </c>
      <c r="AL46" s="113">
        <f t="shared" si="13"/>
        <v>0.0143163719128546</v>
      </c>
    </row>
    <row r="47" ht="14.5" outlineLevel="1" spans="1:38">
      <c r="A47" s="101" t="s">
        <v>216</v>
      </c>
      <c r="B47" s="101" t="s">
        <v>217</v>
      </c>
      <c r="C47" s="109">
        <v>45582</v>
      </c>
      <c r="D47" s="101" t="s">
        <v>235</v>
      </c>
      <c r="E47" s="102">
        <v>29573.1</v>
      </c>
      <c r="F47" s="103">
        <v>319836</v>
      </c>
      <c r="G47" s="104">
        <v>0.0879</v>
      </c>
      <c r="H47" s="103">
        <v>28120</v>
      </c>
      <c r="I47" s="105">
        <v>92.46</v>
      </c>
      <c r="J47" s="105">
        <v>0.81</v>
      </c>
      <c r="K47" s="105">
        <v>787</v>
      </c>
      <c r="L47" s="103">
        <v>17408.51</v>
      </c>
      <c r="M47" s="105">
        <v>785</v>
      </c>
      <c r="N47" s="103">
        <v>17289.21</v>
      </c>
      <c r="O47" s="103">
        <v>6593.8</v>
      </c>
      <c r="P47" s="105">
        <v>0.81</v>
      </c>
      <c r="Q47" s="105">
        <v>1.05</v>
      </c>
      <c r="R47" s="105">
        <v>772</v>
      </c>
      <c r="S47" s="104">
        <v>0.0275</v>
      </c>
      <c r="T47" s="105">
        <v>38.31</v>
      </c>
      <c r="U47" s="105">
        <v>22.02</v>
      </c>
      <c r="V47" s="103">
        <v>29059</v>
      </c>
      <c r="W47" s="105">
        <v>0</v>
      </c>
      <c r="X47" s="104">
        <v>0</v>
      </c>
      <c r="Y47" s="105">
        <v>0</v>
      </c>
      <c r="Z47" s="102">
        <v>2888</v>
      </c>
      <c r="AA47" s="104">
        <v>0.167</v>
      </c>
      <c r="AB47" s="104">
        <v>0.833</v>
      </c>
      <c r="AC47" s="105">
        <v>0.67</v>
      </c>
      <c r="AD47" s="105">
        <v>42.25</v>
      </c>
      <c r="AE47" s="105">
        <v>257</v>
      </c>
      <c r="AF47" s="110">
        <f t="shared" si="7"/>
        <v>0.0924633249540389</v>
      </c>
      <c r="AG47" s="111">
        <f t="shared" si="8"/>
        <v>1.01769159296603</v>
      </c>
      <c r="AH47" s="112">
        <f t="shared" si="9"/>
        <v>0.821879968340273</v>
      </c>
      <c r="AI47" s="113">
        <f t="shared" si="10"/>
        <v>0.0908559386685676</v>
      </c>
      <c r="AJ47" s="113">
        <f t="shared" si="11"/>
        <v>0.026566640283561</v>
      </c>
      <c r="AK47" s="113">
        <f t="shared" si="12"/>
        <v>0.0275962959145666</v>
      </c>
      <c r="AL47" s="113">
        <f t="shared" si="13"/>
        <v>0.0175770931808399</v>
      </c>
    </row>
    <row r="48" ht="14.5" outlineLevel="1" spans="1:38">
      <c r="A48" s="101" t="s">
        <v>216</v>
      </c>
      <c r="B48" s="101" t="s">
        <v>217</v>
      </c>
      <c r="C48" s="109">
        <v>45582</v>
      </c>
      <c r="D48" s="101" t="s">
        <v>236</v>
      </c>
      <c r="E48" s="102">
        <v>2461.13</v>
      </c>
      <c r="F48" s="103">
        <v>37739</v>
      </c>
      <c r="G48" s="104">
        <v>0.0954</v>
      </c>
      <c r="H48" s="103">
        <v>3602</v>
      </c>
      <c r="I48" s="105">
        <v>65.21</v>
      </c>
      <c r="J48" s="105">
        <v>1.43</v>
      </c>
      <c r="K48" s="105">
        <v>45</v>
      </c>
      <c r="L48" s="103">
        <v>2759.24</v>
      </c>
      <c r="M48" s="105">
        <v>43</v>
      </c>
      <c r="N48" s="103">
        <v>2671.44</v>
      </c>
      <c r="O48" s="103">
        <v>764.86</v>
      </c>
      <c r="P48" s="105">
        <v>1.4</v>
      </c>
      <c r="Q48" s="105">
        <v>0.68</v>
      </c>
      <c r="R48" s="105">
        <v>32</v>
      </c>
      <c r="S48" s="104">
        <v>0.0089</v>
      </c>
      <c r="T48" s="105">
        <v>76.91</v>
      </c>
      <c r="U48" s="105">
        <v>62.13</v>
      </c>
      <c r="V48" s="103">
        <v>4158</v>
      </c>
      <c r="W48" s="105">
        <v>0</v>
      </c>
      <c r="X48" s="104">
        <v>0</v>
      </c>
      <c r="Y48" s="105">
        <v>0</v>
      </c>
      <c r="Z48" s="102">
        <v>501.14</v>
      </c>
      <c r="AA48" s="104">
        <v>0.1876</v>
      </c>
      <c r="AB48" s="104">
        <v>0.8124</v>
      </c>
      <c r="AC48" s="105">
        <v>1.14</v>
      </c>
      <c r="AD48" s="105">
        <v>72.39</v>
      </c>
      <c r="AE48" s="105">
        <v>27</v>
      </c>
      <c r="AF48" s="110">
        <f t="shared" si="7"/>
        <v>0.0652144995892843</v>
      </c>
      <c r="AG48" s="111">
        <f t="shared" si="8"/>
        <v>0.591902356902357</v>
      </c>
      <c r="AH48" s="112">
        <f t="shared" si="9"/>
        <v>0.826430976430977</v>
      </c>
      <c r="AI48" s="113">
        <f t="shared" si="10"/>
        <v>0.110177800153687</v>
      </c>
      <c r="AJ48" s="113">
        <f t="shared" si="11"/>
        <v>0.0076960076960077</v>
      </c>
      <c r="AK48" s="113">
        <f t="shared" si="12"/>
        <v>0.00229661657939876</v>
      </c>
      <c r="AL48" s="113">
        <f t="shared" si="13"/>
        <v>0.00252900138204189</v>
      </c>
    </row>
    <row r="49" ht="14.5" outlineLevel="1" spans="1:40">
      <c r="A49" s="101" t="s">
        <v>216</v>
      </c>
      <c r="B49" s="101" t="s">
        <v>217</v>
      </c>
      <c r="C49" s="109">
        <v>45582</v>
      </c>
      <c r="D49" s="101" t="s">
        <v>237</v>
      </c>
      <c r="E49" s="102">
        <v>8880.47</v>
      </c>
      <c r="F49" s="103">
        <v>107142</v>
      </c>
      <c r="G49" s="104">
        <v>0.083</v>
      </c>
      <c r="H49" s="103">
        <v>8888</v>
      </c>
      <c r="I49" s="105">
        <v>82.89</v>
      </c>
      <c r="J49" s="105">
        <v>1.28</v>
      </c>
      <c r="K49" s="105">
        <v>156</v>
      </c>
      <c r="L49" s="103">
        <v>7542.55</v>
      </c>
      <c r="M49" s="105">
        <v>154</v>
      </c>
      <c r="N49" s="103">
        <v>7441.51</v>
      </c>
      <c r="O49" s="103">
        <v>3815.63</v>
      </c>
      <c r="P49" s="105">
        <v>1.27</v>
      </c>
      <c r="Q49" s="105">
        <v>1</v>
      </c>
      <c r="R49" s="105">
        <v>173</v>
      </c>
      <c r="S49" s="104">
        <v>0.0195</v>
      </c>
      <c r="T49" s="105">
        <v>51.33</v>
      </c>
      <c r="U49" s="105">
        <v>48.32</v>
      </c>
      <c r="V49" s="103">
        <v>9446</v>
      </c>
      <c r="W49" s="105">
        <v>0</v>
      </c>
      <c r="X49" s="104">
        <v>0</v>
      </c>
      <c r="Y49" s="105">
        <v>0</v>
      </c>
      <c r="Z49" s="102">
        <v>775.72</v>
      </c>
      <c r="AA49" s="104">
        <v>0.1042</v>
      </c>
      <c r="AB49" s="104">
        <v>0.8958</v>
      </c>
      <c r="AC49" s="105">
        <v>1.14</v>
      </c>
      <c r="AD49" s="105">
        <v>64.82</v>
      </c>
      <c r="AE49" s="105">
        <v>34</v>
      </c>
      <c r="AF49" s="110">
        <f t="shared" si="7"/>
        <v>0.0828850497470646</v>
      </c>
      <c r="AG49" s="111">
        <f t="shared" si="8"/>
        <v>0.940130213847131</v>
      </c>
      <c r="AH49" s="112">
        <f t="shared" si="9"/>
        <v>1.19173618462841</v>
      </c>
      <c r="AI49" s="113">
        <f t="shared" si="10"/>
        <v>0.0881633719736425</v>
      </c>
      <c r="AJ49" s="113">
        <f t="shared" si="11"/>
        <v>0.0183146305314419</v>
      </c>
      <c r="AK49" s="113">
        <f t="shared" si="12"/>
        <v>0.0082868579208954</v>
      </c>
      <c r="AL49" s="113">
        <f t="shared" si="13"/>
        <v>0.00828487693677473</v>
      </c>
    </row>
    <row r="50" ht="14.5" outlineLevel="1" spans="1:40">
      <c r="A50" s="101" t="s">
        <v>216</v>
      </c>
      <c r="B50" s="101" t="s">
        <v>217</v>
      </c>
      <c r="C50" s="109">
        <v>45582</v>
      </c>
      <c r="D50" s="101" t="s">
        <v>238</v>
      </c>
      <c r="E50" s="102">
        <v>37097.29</v>
      </c>
      <c r="F50" s="103">
        <v>538687</v>
      </c>
      <c r="G50" s="104">
        <v>0.0489</v>
      </c>
      <c r="H50" s="103">
        <v>26318</v>
      </c>
      <c r="I50" s="105">
        <v>68.87</v>
      </c>
      <c r="J50" s="105">
        <v>1.2</v>
      </c>
      <c r="K50" s="105">
        <v>580</v>
      </c>
      <c r="L50" s="103">
        <v>30004.18</v>
      </c>
      <c r="M50" s="105">
        <v>574</v>
      </c>
      <c r="N50" s="103">
        <v>29639.52</v>
      </c>
      <c r="O50" s="103">
        <v>14477.78</v>
      </c>
      <c r="P50" s="105">
        <v>1.19</v>
      </c>
      <c r="Q50" s="105">
        <v>1.41</v>
      </c>
      <c r="R50" s="105">
        <v>668</v>
      </c>
      <c r="S50" s="104">
        <v>0.0254</v>
      </c>
      <c r="T50" s="105">
        <v>55.53</v>
      </c>
      <c r="U50" s="105">
        <v>51.64</v>
      </c>
      <c r="V50" s="103">
        <v>28066</v>
      </c>
      <c r="W50" s="105">
        <v>0</v>
      </c>
      <c r="X50" s="104">
        <v>0</v>
      </c>
      <c r="Y50" s="105">
        <v>0</v>
      </c>
      <c r="Z50" s="102">
        <v>4230.51</v>
      </c>
      <c r="AA50" s="104">
        <v>0.1427</v>
      </c>
      <c r="AB50" s="104">
        <v>0.8573</v>
      </c>
      <c r="AC50" s="105">
        <v>1.02</v>
      </c>
      <c r="AD50" s="105">
        <v>76.49</v>
      </c>
      <c r="AE50" s="105">
        <v>248</v>
      </c>
      <c r="AF50" s="110">
        <f t="shared" si="7"/>
        <v>0.0688661319096247</v>
      </c>
      <c r="AG50" s="111">
        <f t="shared" si="8"/>
        <v>1.32178757215136</v>
      </c>
      <c r="AH50" s="112">
        <f t="shared" si="9"/>
        <v>1.57191263450438</v>
      </c>
      <c r="AI50" s="113">
        <f t="shared" si="10"/>
        <v>0.0521007560976968</v>
      </c>
      <c r="AJ50" s="113">
        <f t="shared" si="11"/>
        <v>0.0238010404047602</v>
      </c>
      <c r="AK50" s="113">
        <f t="shared" si="12"/>
        <v>0.0346175339233457</v>
      </c>
      <c r="AL50" s="113">
        <f t="shared" si="13"/>
        <v>0.0324688509943709</v>
      </c>
    </row>
    <row r="51" s="96" customFormat="1" ht="14.5" outlineLevel="1" spans="1:40">
      <c r="A51" s="115" t="s">
        <v>216</v>
      </c>
      <c r="B51" s="115" t="s">
        <v>217</v>
      </c>
      <c r="C51" s="116">
        <v>45582</v>
      </c>
      <c r="D51" s="115" t="s">
        <v>239</v>
      </c>
      <c r="E51" s="117">
        <v>154439.85</v>
      </c>
      <c r="F51" s="118">
        <v>1699871</v>
      </c>
      <c r="G51" s="119">
        <v>0.0378</v>
      </c>
      <c r="H51" s="118">
        <v>64263</v>
      </c>
      <c r="I51" s="120">
        <v>90.85</v>
      </c>
      <c r="J51" s="120">
        <v>1.32</v>
      </c>
      <c r="K51" s="121">
        <v>2639</v>
      </c>
      <c r="L51" s="118">
        <v>138674.93</v>
      </c>
      <c r="M51" s="121">
        <v>2628</v>
      </c>
      <c r="N51" s="118">
        <v>138001.37</v>
      </c>
      <c r="O51" s="118">
        <v>65455.41</v>
      </c>
      <c r="P51" s="120">
        <v>1.32</v>
      </c>
      <c r="Q51" s="120">
        <v>2.4</v>
      </c>
      <c r="R51" s="121">
        <v>3126</v>
      </c>
      <c r="S51" s="119">
        <v>0.0486</v>
      </c>
      <c r="T51" s="120">
        <v>49.4</v>
      </c>
      <c r="U51" s="120">
        <v>52.51</v>
      </c>
      <c r="V51" s="118">
        <v>69257</v>
      </c>
      <c r="W51" s="120">
        <v>74</v>
      </c>
      <c r="X51" s="119">
        <v>0.4353</v>
      </c>
      <c r="Y51" s="120">
        <v>2.62</v>
      </c>
      <c r="Z51" s="117">
        <v>21590.28</v>
      </c>
      <c r="AA51" s="119">
        <v>0.1564</v>
      </c>
      <c r="AB51" s="119">
        <v>0.8436</v>
      </c>
      <c r="AC51" s="120">
        <v>1.12</v>
      </c>
      <c r="AD51" s="120">
        <v>69.26</v>
      </c>
      <c r="AE51" s="120">
        <v>721</v>
      </c>
      <c r="AF51" s="122">
        <f t="shared" si="7"/>
        <v>0.0908538647932696</v>
      </c>
      <c r="AG51" s="123">
        <f t="shared" si="8"/>
        <v>2.22995292894581</v>
      </c>
      <c r="AH51" s="124">
        <f t="shared" si="9"/>
        <v>2.93770709097997</v>
      </c>
      <c r="AI51" s="125">
        <f t="shared" si="10"/>
        <v>0.0407425034017287</v>
      </c>
      <c r="AJ51" s="125">
        <f t="shared" si="11"/>
        <v>0.0451362317166496</v>
      </c>
      <c r="AK51" s="125">
        <f t="shared" si="12"/>
        <v>0.144116369322164</v>
      </c>
      <c r="AL51" s="125">
        <f t="shared" si="13"/>
        <v>0.149737356402465</v>
      </c>
      <c r="AM51" s="127">
        <f>E51/(SUM($E$51:$E$54))</f>
        <v>0.187861822751176</v>
      </c>
      <c r="AN51" s="127">
        <f>(N51+O51)/SUM($N$51:$O$54)</f>
        <v>0.191788883268695</v>
      </c>
    </row>
    <row r="52" s="96" customFormat="1" ht="14.5" outlineLevel="1" spans="1:40">
      <c r="A52" s="115" t="s">
        <v>216</v>
      </c>
      <c r="B52" s="115" t="s">
        <v>217</v>
      </c>
      <c r="C52" s="116">
        <v>45582</v>
      </c>
      <c r="D52" s="115" t="s">
        <v>240</v>
      </c>
      <c r="E52" s="117">
        <v>376760.1</v>
      </c>
      <c r="F52" s="118">
        <v>3679926</v>
      </c>
      <c r="G52" s="119">
        <v>0.0516</v>
      </c>
      <c r="H52" s="118">
        <v>189869</v>
      </c>
      <c r="I52" s="120">
        <v>102.38</v>
      </c>
      <c r="J52" s="120">
        <v>1.33</v>
      </c>
      <c r="K52" s="121">
        <v>6620</v>
      </c>
      <c r="L52" s="118">
        <v>346770.27</v>
      </c>
      <c r="M52" s="121">
        <v>6554</v>
      </c>
      <c r="N52" s="118">
        <v>343651.51</v>
      </c>
      <c r="O52" s="118">
        <v>156156</v>
      </c>
      <c r="P52" s="120">
        <v>1.33</v>
      </c>
      <c r="Q52" s="120">
        <v>1.98</v>
      </c>
      <c r="R52" s="121">
        <v>6518</v>
      </c>
      <c r="S52" s="119">
        <v>0.0343</v>
      </c>
      <c r="T52" s="120">
        <v>57.8</v>
      </c>
      <c r="U52" s="120">
        <v>52.43</v>
      </c>
      <c r="V52" s="118">
        <v>207639</v>
      </c>
      <c r="W52" s="120">
        <v>100</v>
      </c>
      <c r="X52" s="119">
        <v>0.4329</v>
      </c>
      <c r="Y52" s="120">
        <v>1.36</v>
      </c>
      <c r="Z52" s="117">
        <v>51857.84</v>
      </c>
      <c r="AA52" s="119">
        <v>0.1509</v>
      </c>
      <c r="AB52" s="119">
        <v>0.8491</v>
      </c>
      <c r="AC52" s="120">
        <v>1.13</v>
      </c>
      <c r="AD52" s="120">
        <v>67.74</v>
      </c>
      <c r="AE52" s="121">
        <v>2118</v>
      </c>
      <c r="AF52" s="122">
        <f t="shared" si="7"/>
        <v>0.102382520735471</v>
      </c>
      <c r="AG52" s="123">
        <f t="shared" si="8"/>
        <v>1.81449583170792</v>
      </c>
      <c r="AH52" s="124">
        <f t="shared" si="9"/>
        <v>2.40709842563295</v>
      </c>
      <c r="AI52" s="125">
        <f t="shared" si="10"/>
        <v>0.0564247759329943</v>
      </c>
      <c r="AJ52" s="125">
        <f t="shared" si="11"/>
        <v>0.0313910199914274</v>
      </c>
      <c r="AK52" s="125">
        <f t="shared" si="12"/>
        <v>0.351575695764114</v>
      </c>
      <c r="AL52" s="125">
        <f t="shared" si="13"/>
        <v>0.367841539896084</v>
      </c>
      <c r="AM52" s="127">
        <f>E52/(SUM($E$51:$E$54))</f>
        <v>0.458293886752127</v>
      </c>
      <c r="AN52" s="127">
        <f>(N52+O52)/SUM($N$51:$O$54)</f>
        <v>0.471144408125435</v>
      </c>
    </row>
    <row r="53" s="96" customFormat="1" ht="14.5" outlineLevel="1" spans="1:40">
      <c r="A53" s="115" t="s">
        <v>216</v>
      </c>
      <c r="B53" s="115" t="s">
        <v>217</v>
      </c>
      <c r="C53" s="116">
        <v>45582</v>
      </c>
      <c r="D53" s="115" t="s">
        <v>241</v>
      </c>
      <c r="E53" s="117">
        <v>63280.89</v>
      </c>
      <c r="F53" s="118">
        <v>873573</v>
      </c>
      <c r="G53" s="119">
        <v>0.0467</v>
      </c>
      <c r="H53" s="118">
        <v>40790</v>
      </c>
      <c r="I53" s="120">
        <v>72.44</v>
      </c>
      <c r="J53" s="120">
        <v>1.27</v>
      </c>
      <c r="K53" s="121">
        <v>1696</v>
      </c>
      <c r="L53" s="118">
        <v>69236.02</v>
      </c>
      <c r="M53" s="121">
        <v>1677</v>
      </c>
      <c r="N53" s="118">
        <v>68059.66</v>
      </c>
      <c r="O53" s="118">
        <v>11135.59</v>
      </c>
      <c r="P53" s="120">
        <v>1.25</v>
      </c>
      <c r="Q53" s="120">
        <v>1.55</v>
      </c>
      <c r="R53" s="121">
        <v>1476</v>
      </c>
      <c r="S53" s="119">
        <v>0.0362</v>
      </c>
      <c r="T53" s="120">
        <v>42.87</v>
      </c>
      <c r="U53" s="120">
        <v>40.58</v>
      </c>
      <c r="V53" s="118">
        <v>44020</v>
      </c>
      <c r="W53" s="120">
        <v>461</v>
      </c>
      <c r="X53" s="119">
        <v>0.456</v>
      </c>
      <c r="Y53" s="120">
        <v>1.24</v>
      </c>
      <c r="Z53" s="117">
        <v>14023.54</v>
      </c>
      <c r="AA53" s="119">
        <v>0.206</v>
      </c>
      <c r="AB53" s="119">
        <v>0.794</v>
      </c>
      <c r="AC53" s="120">
        <v>1</v>
      </c>
      <c r="AD53" s="120">
        <v>44.56</v>
      </c>
      <c r="AE53" s="120">
        <v>366</v>
      </c>
      <c r="AF53" s="122">
        <f t="shared" si="7"/>
        <v>0.0724391550563032</v>
      </c>
      <c r="AG53" s="123">
        <f t="shared" si="8"/>
        <v>1.43754861426624</v>
      </c>
      <c r="AH53" s="124">
        <f t="shared" si="9"/>
        <v>1.79907428441617</v>
      </c>
      <c r="AI53" s="125">
        <f t="shared" si="10"/>
        <v>0.0503907515456636</v>
      </c>
      <c r="AJ53" s="125">
        <f t="shared" si="11"/>
        <v>0.0335302135393003</v>
      </c>
      <c r="AK53" s="125">
        <f t="shared" si="12"/>
        <v>0.0590508998440184</v>
      </c>
      <c r="AL53" s="125">
        <f t="shared" si="13"/>
        <v>0.0582850440011503</v>
      </c>
      <c r="AM53" s="127">
        <f>E53/(SUM($E$51:$E$54))</f>
        <v>0.0769753618688226</v>
      </c>
      <c r="AN53" s="127">
        <f>(N53+O53)/SUM($N$51:$O$54)</f>
        <v>0.0746535384944413</v>
      </c>
    </row>
    <row r="54" s="96" customFormat="1" ht="14.5" outlineLevel="1" spans="1:40">
      <c r="A54" s="115" t="s">
        <v>216</v>
      </c>
      <c r="B54" s="115" t="s">
        <v>217</v>
      </c>
      <c r="C54" s="116">
        <v>45582</v>
      </c>
      <c r="D54" s="115" t="s">
        <v>242</v>
      </c>
      <c r="E54" s="117">
        <v>227611.95</v>
      </c>
      <c r="F54" s="118">
        <v>2108778</v>
      </c>
      <c r="G54" s="119">
        <v>0.0481</v>
      </c>
      <c r="H54" s="118">
        <v>101480</v>
      </c>
      <c r="I54" s="120">
        <v>107.94</v>
      </c>
      <c r="J54" s="120">
        <v>1.23</v>
      </c>
      <c r="K54" s="121">
        <v>3594</v>
      </c>
      <c r="L54" s="118">
        <v>188824.96</v>
      </c>
      <c r="M54" s="121">
        <v>3575</v>
      </c>
      <c r="N54" s="118">
        <v>187636.66</v>
      </c>
      <c r="O54" s="118">
        <v>90740.99</v>
      </c>
      <c r="P54" s="120">
        <v>1.22</v>
      </c>
      <c r="Q54" s="120">
        <v>2.24</v>
      </c>
      <c r="R54" s="121">
        <v>4072</v>
      </c>
      <c r="S54" s="119">
        <v>0.0401</v>
      </c>
      <c r="T54" s="120">
        <v>55.9</v>
      </c>
      <c r="U54" s="120">
        <v>52.49</v>
      </c>
      <c r="V54" s="118">
        <v>112452</v>
      </c>
      <c r="W54" s="120">
        <v>576</v>
      </c>
      <c r="X54" s="119">
        <v>0.4302</v>
      </c>
      <c r="Y54" s="120">
        <v>0.81</v>
      </c>
      <c r="Z54" s="117">
        <v>24128.81</v>
      </c>
      <c r="AA54" s="119">
        <v>0.1286</v>
      </c>
      <c r="AB54" s="119">
        <v>0.8714</v>
      </c>
      <c r="AC54" s="120">
        <v>1.07</v>
      </c>
      <c r="AD54" s="120">
        <v>72.23</v>
      </c>
      <c r="AE54" s="120">
        <v>900</v>
      </c>
      <c r="AF54" s="122">
        <f t="shared" si="7"/>
        <v>0.107935472581751</v>
      </c>
      <c r="AG54" s="123">
        <f t="shared" si="8"/>
        <v>2.02408094120158</v>
      </c>
      <c r="AH54" s="124">
        <f t="shared" si="9"/>
        <v>2.47552422366877</v>
      </c>
      <c r="AI54" s="125">
        <f t="shared" si="10"/>
        <v>0.0533256701274387</v>
      </c>
      <c r="AJ54" s="125">
        <f t="shared" si="11"/>
        <v>0.036211005584605</v>
      </c>
      <c r="AK54" s="125">
        <f t="shared" si="12"/>
        <v>0.212397304506174</v>
      </c>
      <c r="AL54" s="125">
        <f t="shared" si="13"/>
        <v>0.204876600290886</v>
      </c>
      <c r="AM54" s="127">
        <f>E54/(SUM($E$51:$E$54))</f>
        <v>0.276868928627874</v>
      </c>
      <c r="AN54" s="127">
        <f>(N54+O54)/SUM($N$51:$O$54)</f>
        <v>0.262413170111429</v>
      </c>
    </row>
    <row r="55" s="97" customFormat="1" ht="14.5" outlineLevel="1" spans="1:40">
      <c r="A55" s="128" t="s">
        <v>216</v>
      </c>
      <c r="B55" s="128" t="s">
        <v>217</v>
      </c>
      <c r="C55" s="129">
        <v>45583</v>
      </c>
      <c r="D55" s="128" t="s">
        <v>218</v>
      </c>
      <c r="E55" s="130">
        <v>254282.02</v>
      </c>
      <c r="F55" s="131">
        <v>2565245</v>
      </c>
      <c r="G55" s="132">
        <v>0.0589</v>
      </c>
      <c r="H55" s="131">
        <v>150999</v>
      </c>
      <c r="I55" s="133">
        <v>99.13</v>
      </c>
      <c r="J55" s="133">
        <v>1.26</v>
      </c>
      <c r="K55" s="134">
        <v>4224</v>
      </c>
      <c r="L55" s="131">
        <v>218206.06</v>
      </c>
      <c r="M55" s="134">
        <v>4179</v>
      </c>
      <c r="N55" s="131">
        <v>215303.68</v>
      </c>
      <c r="O55" s="131">
        <v>103082.2</v>
      </c>
      <c r="P55" s="133">
        <v>1.25</v>
      </c>
      <c r="Q55" s="133">
        <v>1.68</v>
      </c>
      <c r="R55" s="134">
        <v>4185</v>
      </c>
      <c r="S55" s="132">
        <v>0.0277</v>
      </c>
      <c r="T55" s="133">
        <v>60.76</v>
      </c>
      <c r="U55" s="133">
        <v>51.52</v>
      </c>
      <c r="V55" s="131">
        <v>176458</v>
      </c>
      <c r="W55" s="133">
        <v>68</v>
      </c>
      <c r="X55" s="132">
        <v>0.4789</v>
      </c>
      <c r="Y55" s="133">
        <v>0.15</v>
      </c>
      <c r="Z55" s="130">
        <v>22393.59</v>
      </c>
      <c r="AA55" s="132">
        <v>0.104</v>
      </c>
      <c r="AB55" s="132">
        <v>0.896</v>
      </c>
      <c r="AC55" s="133">
        <v>1.12</v>
      </c>
      <c r="AD55" s="133">
        <v>68.36</v>
      </c>
      <c r="AE55" s="134">
        <v>1025</v>
      </c>
      <c r="AH55" s="135"/>
      <c r="AI55" s="136"/>
      <c r="AJ55" s="136">
        <f t="shared" si="11"/>
        <v>0.0237166917906811</v>
      </c>
    </row>
    <row r="56" ht="14.5" outlineLevel="1" spans="1:40">
      <c r="A56" s="101" t="s">
        <v>216</v>
      </c>
      <c r="B56" s="101" t="s">
        <v>217</v>
      </c>
      <c r="C56" s="109">
        <v>45583</v>
      </c>
      <c r="D56" s="101" t="s">
        <v>219</v>
      </c>
      <c r="E56" s="102">
        <v>35923.29</v>
      </c>
      <c r="F56" s="103">
        <v>336039</v>
      </c>
      <c r="G56" s="104">
        <v>0.0434</v>
      </c>
      <c r="H56" s="103">
        <v>14587</v>
      </c>
      <c r="I56" s="105">
        <v>106.9</v>
      </c>
      <c r="J56" s="105">
        <v>0.8</v>
      </c>
      <c r="K56" s="105">
        <v>370</v>
      </c>
      <c r="L56" s="103">
        <v>19294.54</v>
      </c>
      <c r="M56" s="105">
        <v>368</v>
      </c>
      <c r="N56" s="103">
        <v>19224.84</v>
      </c>
      <c r="O56" s="103">
        <v>9273.48</v>
      </c>
      <c r="P56" s="105">
        <v>0.79</v>
      </c>
      <c r="Q56" s="105">
        <v>2.46</v>
      </c>
      <c r="R56" s="105">
        <v>454</v>
      </c>
      <c r="S56" s="104">
        <v>0.0311</v>
      </c>
      <c r="T56" s="105">
        <v>79.13</v>
      </c>
      <c r="U56" s="105">
        <v>52.24</v>
      </c>
      <c r="V56" s="103">
        <v>15976</v>
      </c>
      <c r="W56" s="105">
        <v>59</v>
      </c>
      <c r="X56" s="104">
        <v>0.4214</v>
      </c>
      <c r="Y56" s="105">
        <v>0.18</v>
      </c>
      <c r="Z56" s="102">
        <v>1940.41</v>
      </c>
      <c r="AA56" s="104">
        <v>0.1009</v>
      </c>
      <c r="AB56" s="104">
        <v>0.8991</v>
      </c>
      <c r="AC56" s="105">
        <v>0.71</v>
      </c>
      <c r="AD56" s="105">
        <v>109.19</v>
      </c>
      <c r="AE56" s="105">
        <v>127</v>
      </c>
      <c r="AF56" s="110">
        <f>E56/F56</f>
        <v>0.106902145286708</v>
      </c>
      <c r="AG56" s="111">
        <f>E56/V56</f>
        <v>2.24857849273911</v>
      </c>
      <c r="AH56" s="112">
        <f>(N56+O56)/V56</f>
        <v>1.78382073109664</v>
      </c>
      <c r="AI56" s="113">
        <f t="shared" si="10"/>
        <v>0.0475421007680656</v>
      </c>
      <c r="AJ56" s="113">
        <f t="shared" si="11"/>
        <v>0.0284176264396595</v>
      </c>
    </row>
    <row r="57" ht="14.5" outlineLevel="1" spans="1:40">
      <c r="A57" s="101" t="s">
        <v>216</v>
      </c>
      <c r="B57" s="101" t="s">
        <v>217</v>
      </c>
      <c r="C57" s="109">
        <v>45583</v>
      </c>
      <c r="D57" s="101" t="s">
        <v>220</v>
      </c>
      <c r="E57" s="102">
        <v>14695.82</v>
      </c>
      <c r="F57" s="103">
        <v>185330</v>
      </c>
      <c r="G57" s="104">
        <v>0.0414</v>
      </c>
      <c r="H57" s="103">
        <v>7681</v>
      </c>
      <c r="I57" s="105">
        <v>79.3</v>
      </c>
      <c r="J57" s="105">
        <v>1.36</v>
      </c>
      <c r="K57" s="105">
        <v>260</v>
      </c>
      <c r="L57" s="103">
        <v>13467.4</v>
      </c>
      <c r="M57" s="105">
        <v>259</v>
      </c>
      <c r="N57" s="103">
        <v>13387.5</v>
      </c>
      <c r="O57" s="103">
        <v>6481</v>
      </c>
      <c r="P57" s="105">
        <v>1.35</v>
      </c>
      <c r="Q57" s="105">
        <v>1.91</v>
      </c>
      <c r="R57" s="105">
        <v>195</v>
      </c>
      <c r="S57" s="104">
        <v>0.0254</v>
      </c>
      <c r="T57" s="105">
        <v>75.36</v>
      </c>
      <c r="U57" s="105">
        <v>51.69</v>
      </c>
      <c r="V57" s="103">
        <v>9006</v>
      </c>
      <c r="W57" s="105">
        <v>2</v>
      </c>
      <c r="X57" s="104">
        <v>1</v>
      </c>
      <c r="Y57" s="105">
        <v>0</v>
      </c>
      <c r="Z57" s="102">
        <v>1334.68</v>
      </c>
      <c r="AA57" s="104">
        <v>0.0997</v>
      </c>
      <c r="AB57" s="104">
        <v>0.9003</v>
      </c>
      <c r="AC57" s="105">
        <v>1.22</v>
      </c>
      <c r="AD57" s="105">
        <v>63.62</v>
      </c>
      <c r="AE57" s="105">
        <v>94</v>
      </c>
      <c r="AF57" s="110">
        <f t="shared" ref="AF57:AF79" si="14">E57/F57</f>
        <v>0.0792954189823558</v>
      </c>
      <c r="AG57" s="111">
        <f t="shared" ref="AG57:AG79" si="15">E57/V57</f>
        <v>1.63178103486565</v>
      </c>
      <c r="AH57" s="112">
        <f t="shared" ref="AH57:AH79" si="16">(N57+O57)/V57</f>
        <v>2.20614035087719</v>
      </c>
      <c r="AI57" s="113">
        <f t="shared" si="10"/>
        <v>0.0485943991798414</v>
      </c>
      <c r="AJ57" s="113">
        <f t="shared" si="11"/>
        <v>0.0216522318454364</v>
      </c>
    </row>
    <row r="58" ht="14.5" outlineLevel="1" spans="1:40">
      <c r="A58" s="101" t="s">
        <v>216</v>
      </c>
      <c r="B58" s="101" t="s">
        <v>217</v>
      </c>
      <c r="C58" s="109">
        <v>45583</v>
      </c>
      <c r="D58" s="101" t="s">
        <v>221</v>
      </c>
      <c r="E58" s="102">
        <v>19.1</v>
      </c>
      <c r="F58" s="103">
        <v>4439</v>
      </c>
      <c r="G58" s="104">
        <v>0.0259</v>
      </c>
      <c r="H58" s="103">
        <v>115</v>
      </c>
      <c r="I58" s="105">
        <v>4.3</v>
      </c>
      <c r="J58" s="105">
        <v>0</v>
      </c>
      <c r="K58" s="105">
        <v>0</v>
      </c>
      <c r="L58" s="103">
        <v>0</v>
      </c>
      <c r="M58" s="105">
        <v>0</v>
      </c>
      <c r="N58" s="103">
        <v>0</v>
      </c>
      <c r="O58" s="103">
        <v>0</v>
      </c>
      <c r="P58" s="105">
        <v>0</v>
      </c>
      <c r="Q58" s="105">
        <v>0.17</v>
      </c>
      <c r="R58" s="105">
        <v>2</v>
      </c>
      <c r="S58" s="104">
        <v>0.0174</v>
      </c>
      <c r="T58" s="105">
        <v>9.55</v>
      </c>
      <c r="U58" s="105">
        <v>0</v>
      </c>
      <c r="V58" s="103">
        <v>97</v>
      </c>
      <c r="W58" s="105">
        <v>2</v>
      </c>
      <c r="X58" s="104">
        <v>0</v>
      </c>
      <c r="Y58" s="105">
        <v>0</v>
      </c>
      <c r="Z58" s="102">
        <v>0</v>
      </c>
      <c r="AA58" s="104">
        <v>0</v>
      </c>
      <c r="AB58" s="104">
        <v>0</v>
      </c>
      <c r="AC58" s="105">
        <v>0</v>
      </c>
      <c r="AD58" s="105">
        <v>0</v>
      </c>
      <c r="AE58" s="105">
        <v>4</v>
      </c>
      <c r="AF58" s="110">
        <f t="shared" si="14"/>
        <v>0.00430277089434557</v>
      </c>
      <c r="AG58" s="111">
        <f t="shared" si="15"/>
        <v>0.196907216494845</v>
      </c>
      <c r="AH58" s="112">
        <f t="shared" si="16"/>
        <v>0</v>
      </c>
      <c r="AI58" s="113">
        <f t="shared" si="10"/>
        <v>0.02185176841631</v>
      </c>
      <c r="AJ58" s="113">
        <f t="shared" si="11"/>
        <v>0.0206185567010309</v>
      </c>
    </row>
    <row r="59" ht="14.5" outlineLevel="1" spans="1:40">
      <c r="A59" s="101" t="s">
        <v>216</v>
      </c>
      <c r="B59" s="101" t="s">
        <v>217</v>
      </c>
      <c r="C59" s="109">
        <v>45583</v>
      </c>
      <c r="D59" s="101" t="s">
        <v>222</v>
      </c>
      <c r="E59" s="102">
        <v>4.27</v>
      </c>
      <c r="F59" s="103">
        <v>2235</v>
      </c>
      <c r="G59" s="104">
        <v>0.0215</v>
      </c>
      <c r="H59" s="103">
        <v>48</v>
      </c>
      <c r="I59" s="105">
        <v>1.91</v>
      </c>
      <c r="J59" s="105">
        <v>0</v>
      </c>
      <c r="K59" s="105">
        <v>0</v>
      </c>
      <c r="L59" s="103">
        <v>0</v>
      </c>
      <c r="M59" s="105">
        <v>0</v>
      </c>
      <c r="N59" s="103">
        <v>0</v>
      </c>
      <c r="O59" s="103">
        <v>0</v>
      </c>
      <c r="P59" s="105">
        <v>0</v>
      </c>
      <c r="Q59" s="105">
        <v>0.09</v>
      </c>
      <c r="R59" s="105">
        <v>0</v>
      </c>
      <c r="S59" s="104">
        <v>0</v>
      </c>
      <c r="T59" s="105">
        <v>0</v>
      </c>
      <c r="U59" s="105">
        <v>0</v>
      </c>
      <c r="V59" s="103">
        <v>73</v>
      </c>
      <c r="W59" s="105">
        <v>0</v>
      </c>
      <c r="X59" s="104">
        <v>0</v>
      </c>
      <c r="Y59" s="105">
        <v>0</v>
      </c>
      <c r="Z59" s="102">
        <v>0</v>
      </c>
      <c r="AA59" s="104">
        <v>0</v>
      </c>
      <c r="AB59" s="104">
        <v>0</v>
      </c>
      <c r="AC59" s="105">
        <v>0</v>
      </c>
      <c r="AD59" s="105">
        <v>0</v>
      </c>
      <c r="AE59" s="105">
        <v>2</v>
      </c>
      <c r="AF59" s="110">
        <f t="shared" si="14"/>
        <v>0.00191051454138702</v>
      </c>
      <c r="AG59" s="111">
        <f t="shared" si="15"/>
        <v>0.0584931506849315</v>
      </c>
      <c r="AH59" s="112">
        <f t="shared" si="16"/>
        <v>0</v>
      </c>
      <c r="AI59" s="113">
        <f t="shared" si="10"/>
        <v>0.032662192393736</v>
      </c>
      <c r="AJ59" s="113">
        <f t="shared" si="11"/>
        <v>0</v>
      </c>
    </row>
    <row r="60" ht="14.5" outlineLevel="1" spans="1:40">
      <c r="A60" s="101" t="s">
        <v>216</v>
      </c>
      <c r="B60" s="101" t="s">
        <v>217</v>
      </c>
      <c r="C60" s="109">
        <v>45583</v>
      </c>
      <c r="D60" s="101" t="s">
        <v>223</v>
      </c>
      <c r="E60" s="102">
        <v>0.06</v>
      </c>
      <c r="F60" s="103">
        <v>1094</v>
      </c>
      <c r="G60" s="104">
        <v>0.0247</v>
      </c>
      <c r="H60" s="103">
        <v>27</v>
      </c>
      <c r="I60" s="105">
        <v>0.05</v>
      </c>
      <c r="J60" s="105">
        <v>748.33</v>
      </c>
      <c r="K60" s="105">
        <v>2</v>
      </c>
      <c r="L60" s="103">
        <v>44.9</v>
      </c>
      <c r="M60" s="105">
        <v>0</v>
      </c>
      <c r="N60" s="103">
        <v>0</v>
      </c>
      <c r="O60" s="103">
        <v>0</v>
      </c>
      <c r="P60" s="105">
        <v>0</v>
      </c>
      <c r="Q60" s="105">
        <v>0</v>
      </c>
      <c r="R60" s="105">
        <v>0</v>
      </c>
      <c r="S60" s="104">
        <v>0</v>
      </c>
      <c r="T60" s="105">
        <v>0</v>
      </c>
      <c r="U60" s="105">
        <v>0</v>
      </c>
      <c r="V60" s="103">
        <v>69</v>
      </c>
      <c r="W60" s="105">
        <v>0</v>
      </c>
      <c r="X60" s="104">
        <v>0</v>
      </c>
      <c r="Y60" s="105">
        <v>0</v>
      </c>
      <c r="Z60" s="102">
        <v>0</v>
      </c>
      <c r="AA60" s="104">
        <v>0</v>
      </c>
      <c r="AB60" s="104">
        <v>0</v>
      </c>
      <c r="AC60" s="105">
        <v>0</v>
      </c>
      <c r="AD60" s="105">
        <v>0</v>
      </c>
      <c r="AE60" s="105">
        <v>0</v>
      </c>
      <c r="AF60" s="110">
        <f t="shared" si="14"/>
        <v>5.48446069469835e-5</v>
      </c>
      <c r="AG60" s="111">
        <f t="shared" si="15"/>
        <v>0.000869565217391304</v>
      </c>
      <c r="AH60" s="112">
        <f t="shared" si="16"/>
        <v>0</v>
      </c>
      <c r="AI60" s="113">
        <f t="shared" si="10"/>
        <v>0.0630712979890311</v>
      </c>
      <c r="AJ60" s="113">
        <f t="shared" si="11"/>
        <v>0</v>
      </c>
    </row>
    <row r="61" ht="14.5" outlineLevel="1" spans="1:40">
      <c r="A61" s="101" t="s">
        <v>216</v>
      </c>
      <c r="B61" s="101" t="s">
        <v>217</v>
      </c>
      <c r="C61" s="109">
        <v>45583</v>
      </c>
      <c r="D61" s="101" t="s">
        <v>224</v>
      </c>
      <c r="E61" s="102">
        <v>0</v>
      </c>
      <c r="F61" s="103">
        <v>351</v>
      </c>
      <c r="G61" s="104">
        <v>0.0085</v>
      </c>
      <c r="H61" s="103">
        <v>3</v>
      </c>
      <c r="I61" s="105">
        <v>0</v>
      </c>
      <c r="J61" s="105">
        <v>0</v>
      </c>
      <c r="K61" s="105">
        <v>0</v>
      </c>
      <c r="L61" s="103">
        <v>0</v>
      </c>
      <c r="M61" s="105">
        <v>0</v>
      </c>
      <c r="N61" s="103">
        <v>0</v>
      </c>
      <c r="O61" s="103">
        <v>0</v>
      </c>
      <c r="P61" s="105">
        <v>0</v>
      </c>
      <c r="Q61" s="105">
        <v>0</v>
      </c>
      <c r="R61" s="105">
        <v>0</v>
      </c>
      <c r="S61" s="104">
        <v>0</v>
      </c>
      <c r="T61" s="105">
        <v>0</v>
      </c>
      <c r="U61" s="105">
        <v>0</v>
      </c>
      <c r="V61" s="103">
        <v>157</v>
      </c>
      <c r="W61" s="105">
        <v>0</v>
      </c>
      <c r="X61" s="104">
        <v>0</v>
      </c>
      <c r="Y61" s="105">
        <v>0</v>
      </c>
      <c r="Z61" s="102">
        <v>0</v>
      </c>
      <c r="AA61" s="104">
        <v>0</v>
      </c>
      <c r="AB61" s="104">
        <v>0</v>
      </c>
      <c r="AC61" s="105">
        <v>0</v>
      </c>
      <c r="AD61" s="105">
        <v>0</v>
      </c>
      <c r="AE61" s="105">
        <v>3</v>
      </c>
      <c r="AF61" s="110">
        <f t="shared" si="14"/>
        <v>0</v>
      </c>
      <c r="AG61" s="111">
        <f t="shared" si="15"/>
        <v>0</v>
      </c>
      <c r="AH61" s="112">
        <f t="shared" si="16"/>
        <v>0</v>
      </c>
      <c r="AI61" s="113">
        <f t="shared" si="10"/>
        <v>0.447293447293447</v>
      </c>
      <c r="AJ61" s="113">
        <f t="shared" si="11"/>
        <v>0</v>
      </c>
    </row>
    <row r="62" ht="14.5" outlineLevel="1" spans="1:40">
      <c r="A62" s="101" t="s">
        <v>216</v>
      </c>
      <c r="B62" s="101" t="s">
        <v>217</v>
      </c>
      <c r="C62" s="109">
        <v>45583</v>
      </c>
      <c r="D62" s="101" t="s">
        <v>225</v>
      </c>
      <c r="E62" s="102">
        <v>9110.46</v>
      </c>
      <c r="F62" s="103">
        <v>70432</v>
      </c>
      <c r="G62" s="104">
        <v>0.0799</v>
      </c>
      <c r="H62" s="103">
        <v>5628</v>
      </c>
      <c r="I62" s="105">
        <v>129.35</v>
      </c>
      <c r="J62" s="105">
        <v>0.85</v>
      </c>
      <c r="K62" s="105">
        <v>105</v>
      </c>
      <c r="L62" s="103">
        <v>5129.18</v>
      </c>
      <c r="M62" s="105">
        <v>105</v>
      </c>
      <c r="N62" s="103">
        <v>5129.18</v>
      </c>
      <c r="O62" s="103">
        <v>2620.42</v>
      </c>
      <c r="P62" s="105">
        <v>0.85</v>
      </c>
      <c r="Q62" s="105">
        <v>1.62</v>
      </c>
      <c r="R62" s="105">
        <v>109</v>
      </c>
      <c r="S62" s="104">
        <v>0.0194</v>
      </c>
      <c r="T62" s="105">
        <v>83.58</v>
      </c>
      <c r="U62" s="105">
        <v>48.85</v>
      </c>
      <c r="V62" s="103">
        <v>6800</v>
      </c>
      <c r="W62" s="105">
        <v>0</v>
      </c>
      <c r="X62" s="104">
        <v>0</v>
      </c>
      <c r="Y62" s="105">
        <v>0</v>
      </c>
      <c r="Z62" s="102">
        <v>552.62</v>
      </c>
      <c r="AA62" s="104">
        <v>0.1077</v>
      </c>
      <c r="AB62" s="104">
        <v>0.8923</v>
      </c>
      <c r="AC62" s="105">
        <v>0.76</v>
      </c>
      <c r="AD62" s="105">
        <v>97.96</v>
      </c>
      <c r="AE62" s="105">
        <v>45</v>
      </c>
      <c r="AF62" s="110">
        <f t="shared" si="14"/>
        <v>0.129351147205816</v>
      </c>
      <c r="AG62" s="111">
        <f t="shared" si="15"/>
        <v>1.33977352941176</v>
      </c>
      <c r="AH62" s="112">
        <f t="shared" si="16"/>
        <v>1.13964705882353</v>
      </c>
      <c r="AI62" s="113">
        <f t="shared" si="10"/>
        <v>0.0965470240799637</v>
      </c>
      <c r="AJ62" s="113">
        <f t="shared" si="11"/>
        <v>0.0160294117647059</v>
      </c>
    </row>
    <row r="63" ht="14.5" outlineLevel="1" spans="1:40">
      <c r="A63" s="101" t="s">
        <v>216</v>
      </c>
      <c r="B63" s="101" t="s">
        <v>217</v>
      </c>
      <c r="C63" s="109">
        <v>45583</v>
      </c>
      <c r="D63" s="101" t="s">
        <v>226</v>
      </c>
      <c r="E63" s="102">
        <v>24790.59</v>
      </c>
      <c r="F63" s="103">
        <v>195827</v>
      </c>
      <c r="G63" s="104">
        <v>0.052</v>
      </c>
      <c r="H63" s="103">
        <v>10177</v>
      </c>
      <c r="I63" s="105">
        <v>126.59</v>
      </c>
      <c r="J63" s="105">
        <v>0.98</v>
      </c>
      <c r="K63" s="105">
        <v>317</v>
      </c>
      <c r="L63" s="103">
        <v>16208.13</v>
      </c>
      <c r="M63" s="105">
        <v>316</v>
      </c>
      <c r="N63" s="103">
        <v>16136.23</v>
      </c>
      <c r="O63" s="103">
        <v>8188.87</v>
      </c>
      <c r="P63" s="105">
        <v>0.98</v>
      </c>
      <c r="Q63" s="105">
        <v>2.44</v>
      </c>
      <c r="R63" s="105">
        <v>342</v>
      </c>
      <c r="S63" s="104">
        <v>0.0336</v>
      </c>
      <c r="T63" s="105">
        <v>72.49</v>
      </c>
      <c r="U63" s="105">
        <v>51.06</v>
      </c>
      <c r="V63" s="103">
        <v>10786</v>
      </c>
      <c r="W63" s="105">
        <v>2</v>
      </c>
      <c r="X63" s="104">
        <v>0</v>
      </c>
      <c r="Y63" s="105">
        <v>0</v>
      </c>
      <c r="Z63" s="102">
        <v>1969.75</v>
      </c>
      <c r="AA63" s="104">
        <v>0.1221</v>
      </c>
      <c r="AB63" s="104">
        <v>0.8779</v>
      </c>
      <c r="AC63" s="105">
        <v>0.86</v>
      </c>
      <c r="AD63" s="105">
        <v>90.15</v>
      </c>
      <c r="AE63" s="105">
        <v>82</v>
      </c>
      <c r="AF63" s="110">
        <f t="shared" si="14"/>
        <v>0.126594340923366</v>
      </c>
      <c r="AG63" s="111">
        <f t="shared" si="15"/>
        <v>2.29840441312813</v>
      </c>
      <c r="AH63" s="112">
        <f t="shared" si="16"/>
        <v>2.25524754311144</v>
      </c>
      <c r="AI63" s="113">
        <f t="shared" si="10"/>
        <v>0.0550792280941852</v>
      </c>
      <c r="AJ63" s="113">
        <f t="shared" si="11"/>
        <v>0.0317077693306138</v>
      </c>
    </row>
    <row r="64" ht="14.5" outlineLevel="1" spans="1:40">
      <c r="A64" s="101" t="s">
        <v>216</v>
      </c>
      <c r="B64" s="101" t="s">
        <v>217</v>
      </c>
      <c r="C64" s="109">
        <v>45583</v>
      </c>
      <c r="D64" s="101" t="s">
        <v>227</v>
      </c>
      <c r="E64" s="102">
        <v>20401.21</v>
      </c>
      <c r="F64" s="103">
        <v>164832</v>
      </c>
      <c r="G64" s="104">
        <v>0.0612</v>
      </c>
      <c r="H64" s="103">
        <v>10081</v>
      </c>
      <c r="I64" s="105">
        <v>123.77</v>
      </c>
      <c r="J64" s="105">
        <v>1.33</v>
      </c>
      <c r="K64" s="105">
        <v>355</v>
      </c>
      <c r="L64" s="103">
        <v>18010.79</v>
      </c>
      <c r="M64" s="105">
        <v>352</v>
      </c>
      <c r="N64" s="103">
        <v>17836.09</v>
      </c>
      <c r="O64" s="103">
        <v>9096.23</v>
      </c>
      <c r="P64" s="105">
        <v>1.32</v>
      </c>
      <c r="Q64" s="105">
        <v>2.02</v>
      </c>
      <c r="R64" s="105">
        <v>359</v>
      </c>
      <c r="S64" s="104">
        <v>0.0356</v>
      </c>
      <c r="T64" s="105">
        <v>56.83</v>
      </c>
      <c r="U64" s="105">
        <v>50.67</v>
      </c>
      <c r="V64" s="103">
        <v>11295</v>
      </c>
      <c r="W64" s="105">
        <v>0</v>
      </c>
      <c r="X64" s="104">
        <v>0</v>
      </c>
      <c r="Y64" s="105">
        <v>0</v>
      </c>
      <c r="Z64" s="102">
        <v>1982.68</v>
      </c>
      <c r="AA64" s="104">
        <v>0.1112</v>
      </c>
      <c r="AB64" s="104">
        <v>0.8888</v>
      </c>
      <c r="AC64" s="105">
        <v>1.18</v>
      </c>
      <c r="AD64" s="105">
        <v>65.39</v>
      </c>
      <c r="AE64" s="105">
        <v>78</v>
      </c>
      <c r="AF64" s="110">
        <f t="shared" si="14"/>
        <v>0.123769717045234</v>
      </c>
      <c r="AG64" s="111">
        <f t="shared" si="15"/>
        <v>1.80621602478973</v>
      </c>
      <c r="AH64" s="112">
        <f t="shared" si="16"/>
        <v>2.38444621513944</v>
      </c>
      <c r="AI64" s="113">
        <f t="shared" si="10"/>
        <v>0.0685243156668608</v>
      </c>
      <c r="AJ64" s="113">
        <f t="shared" si="11"/>
        <v>0.03178397521027</v>
      </c>
    </row>
    <row r="65" ht="14.5" outlineLevel="1" spans="1:36">
      <c r="A65" s="101" t="s">
        <v>216</v>
      </c>
      <c r="B65" s="101" t="s">
        <v>217</v>
      </c>
      <c r="C65" s="109">
        <v>45583</v>
      </c>
      <c r="D65" s="101" t="s">
        <v>228</v>
      </c>
      <c r="E65" s="102">
        <v>26278.19</v>
      </c>
      <c r="F65" s="103">
        <v>183509</v>
      </c>
      <c r="G65" s="104">
        <v>0.0778</v>
      </c>
      <c r="H65" s="103">
        <v>14275</v>
      </c>
      <c r="I65" s="105">
        <v>143.2</v>
      </c>
      <c r="J65" s="105">
        <v>1.45</v>
      </c>
      <c r="K65" s="105">
        <v>512</v>
      </c>
      <c r="L65" s="103">
        <v>24742.18</v>
      </c>
      <c r="M65" s="105">
        <v>506</v>
      </c>
      <c r="N65" s="103">
        <v>24240.73</v>
      </c>
      <c r="O65" s="103">
        <v>13313.52</v>
      </c>
      <c r="P65" s="105">
        <v>1.43</v>
      </c>
      <c r="Q65" s="105">
        <v>1.84</v>
      </c>
      <c r="R65" s="105">
        <v>491</v>
      </c>
      <c r="S65" s="104">
        <v>0.0344</v>
      </c>
      <c r="T65" s="105">
        <v>53.52</v>
      </c>
      <c r="U65" s="105">
        <v>47.91</v>
      </c>
      <c r="V65" s="103">
        <v>16571</v>
      </c>
      <c r="W65" s="105">
        <v>0</v>
      </c>
      <c r="X65" s="104">
        <v>0</v>
      </c>
      <c r="Y65" s="105">
        <v>0</v>
      </c>
      <c r="Z65" s="102">
        <v>2118.28</v>
      </c>
      <c r="AA65" s="104">
        <v>0.0874</v>
      </c>
      <c r="AB65" s="104">
        <v>0.9126</v>
      </c>
      <c r="AC65" s="105">
        <v>1.3</v>
      </c>
      <c r="AD65" s="105">
        <v>57.38</v>
      </c>
      <c r="AE65" s="105">
        <v>78</v>
      </c>
      <c r="AF65" s="110">
        <f t="shared" si="14"/>
        <v>0.143198371741985</v>
      </c>
      <c r="AG65" s="111">
        <f t="shared" si="15"/>
        <v>1.58579385673767</v>
      </c>
      <c r="AH65" s="112">
        <f t="shared" si="16"/>
        <v>2.2662633516384</v>
      </c>
      <c r="AI65" s="113">
        <f t="shared" si="10"/>
        <v>0.0903007481921868</v>
      </c>
      <c r="AJ65" s="113">
        <f t="shared" si="11"/>
        <v>0.0296300766399131</v>
      </c>
    </row>
    <row r="66" ht="14.5" outlineLevel="1" spans="1:36">
      <c r="A66" s="101" t="s">
        <v>216</v>
      </c>
      <c r="B66" s="101" t="s">
        <v>217</v>
      </c>
      <c r="C66" s="109">
        <v>45583</v>
      </c>
      <c r="D66" s="101" t="s">
        <v>229</v>
      </c>
      <c r="E66" s="102">
        <v>18759.92</v>
      </c>
      <c r="F66" s="103">
        <v>144007</v>
      </c>
      <c r="G66" s="104">
        <v>0.0762</v>
      </c>
      <c r="H66" s="103">
        <v>10979</v>
      </c>
      <c r="I66" s="105">
        <v>130.27</v>
      </c>
      <c r="J66" s="105">
        <v>1.32</v>
      </c>
      <c r="K66" s="105">
        <v>330</v>
      </c>
      <c r="L66" s="103">
        <v>16552.67</v>
      </c>
      <c r="M66" s="105">
        <v>324</v>
      </c>
      <c r="N66" s="103">
        <v>16232.25</v>
      </c>
      <c r="O66" s="103">
        <v>8226.27</v>
      </c>
      <c r="P66" s="105">
        <v>1.3</v>
      </c>
      <c r="Q66" s="105">
        <v>1.71</v>
      </c>
      <c r="R66" s="105">
        <v>308</v>
      </c>
      <c r="S66" s="104">
        <v>0.0281</v>
      </c>
      <c r="T66" s="105">
        <v>60.91</v>
      </c>
      <c r="U66" s="105">
        <v>50.1</v>
      </c>
      <c r="V66" s="103">
        <v>13331</v>
      </c>
      <c r="W66" s="105">
        <v>1</v>
      </c>
      <c r="X66" s="104">
        <v>0</v>
      </c>
      <c r="Y66" s="105">
        <v>0</v>
      </c>
      <c r="Z66" s="102">
        <v>1711.72</v>
      </c>
      <c r="AA66" s="104">
        <v>0.1055</v>
      </c>
      <c r="AB66" s="104">
        <v>0.8945</v>
      </c>
      <c r="AC66" s="105">
        <v>1.16</v>
      </c>
      <c r="AD66" s="105">
        <v>65.14</v>
      </c>
      <c r="AE66" s="105">
        <v>65</v>
      </c>
      <c r="AF66" s="110">
        <f t="shared" si="14"/>
        <v>0.130270889609533</v>
      </c>
      <c r="AG66" s="111">
        <f t="shared" si="15"/>
        <v>1.40724026704673</v>
      </c>
      <c r="AH66" s="112">
        <f t="shared" si="16"/>
        <v>1.834710074263</v>
      </c>
      <c r="AI66" s="113">
        <f t="shared" si="10"/>
        <v>0.0925718888665134</v>
      </c>
      <c r="AJ66" s="113">
        <f t="shared" si="11"/>
        <v>0.0231040432075613</v>
      </c>
    </row>
    <row r="67" ht="14.5" outlineLevel="1" spans="1:36">
      <c r="A67" s="101" t="s">
        <v>216</v>
      </c>
      <c r="B67" s="101" t="s">
        <v>217</v>
      </c>
      <c r="C67" s="109">
        <v>45583</v>
      </c>
      <c r="D67" s="101" t="s">
        <v>230</v>
      </c>
      <c r="E67" s="102">
        <v>12206.88</v>
      </c>
      <c r="F67" s="103">
        <v>115632</v>
      </c>
      <c r="G67" s="104">
        <v>0.0812</v>
      </c>
      <c r="H67" s="103">
        <v>9395</v>
      </c>
      <c r="I67" s="105">
        <v>105.57</v>
      </c>
      <c r="J67" s="105">
        <v>1.44</v>
      </c>
      <c r="K67" s="105">
        <v>229</v>
      </c>
      <c r="L67" s="103">
        <v>12064.17</v>
      </c>
      <c r="M67" s="105">
        <v>226</v>
      </c>
      <c r="N67" s="103">
        <v>11918.67</v>
      </c>
      <c r="O67" s="103">
        <v>5547.08</v>
      </c>
      <c r="P67" s="105">
        <v>1.43</v>
      </c>
      <c r="Q67" s="105">
        <v>1.3</v>
      </c>
      <c r="R67" s="105">
        <v>226</v>
      </c>
      <c r="S67" s="104">
        <v>0.0241</v>
      </c>
      <c r="T67" s="105">
        <v>54.01</v>
      </c>
      <c r="U67" s="105">
        <v>52.74</v>
      </c>
      <c r="V67" s="103">
        <v>11817</v>
      </c>
      <c r="W67" s="105">
        <v>0</v>
      </c>
      <c r="X67" s="104">
        <v>0</v>
      </c>
      <c r="Y67" s="105">
        <v>0</v>
      </c>
      <c r="Z67" s="102">
        <v>1247.05</v>
      </c>
      <c r="AA67" s="104">
        <v>0.1046</v>
      </c>
      <c r="AB67" s="104">
        <v>0.8954</v>
      </c>
      <c r="AC67" s="105">
        <v>1.29</v>
      </c>
      <c r="AD67" s="105">
        <v>60.13</v>
      </c>
      <c r="AE67" s="105">
        <v>49</v>
      </c>
      <c r="AF67" s="110">
        <f t="shared" si="14"/>
        <v>0.105566625155666</v>
      </c>
      <c r="AG67" s="111">
        <f t="shared" si="15"/>
        <v>1.03299314546839</v>
      </c>
      <c r="AH67" s="112">
        <f t="shared" si="16"/>
        <v>1.47801895574173</v>
      </c>
      <c r="AI67" s="113">
        <f t="shared" si="10"/>
        <v>0.102194894146949</v>
      </c>
      <c r="AJ67" s="113">
        <f t="shared" si="11"/>
        <v>0.0191249894220191</v>
      </c>
    </row>
    <row r="68" ht="14.5" outlineLevel="1" spans="1:36">
      <c r="A68" s="101" t="s">
        <v>216</v>
      </c>
      <c r="B68" s="101" t="s">
        <v>217</v>
      </c>
      <c r="C68" s="109">
        <v>45583</v>
      </c>
      <c r="D68" s="101" t="s">
        <v>231</v>
      </c>
      <c r="E68" s="102">
        <v>14156.39</v>
      </c>
      <c r="F68" s="103">
        <v>147814</v>
      </c>
      <c r="G68" s="104">
        <v>0.0793</v>
      </c>
      <c r="H68" s="103">
        <v>11718</v>
      </c>
      <c r="I68" s="105">
        <v>95.77</v>
      </c>
      <c r="J68" s="105">
        <v>1.43</v>
      </c>
      <c r="K68" s="105">
        <v>266</v>
      </c>
      <c r="L68" s="103">
        <v>13551.41</v>
      </c>
      <c r="M68" s="105">
        <v>266</v>
      </c>
      <c r="N68" s="103">
        <v>13551.41</v>
      </c>
      <c r="O68" s="103">
        <v>6648.24</v>
      </c>
      <c r="P68" s="105">
        <v>1.43</v>
      </c>
      <c r="Q68" s="105">
        <v>1.21</v>
      </c>
      <c r="R68" s="105">
        <v>266</v>
      </c>
      <c r="S68" s="104">
        <v>0.0227</v>
      </c>
      <c r="T68" s="105">
        <v>53.22</v>
      </c>
      <c r="U68" s="105">
        <v>50.95</v>
      </c>
      <c r="V68" s="103">
        <v>14946</v>
      </c>
      <c r="W68" s="105">
        <v>1</v>
      </c>
      <c r="X68" s="104">
        <v>0</v>
      </c>
      <c r="Y68" s="105">
        <v>0</v>
      </c>
      <c r="Z68" s="102">
        <v>901.48</v>
      </c>
      <c r="AA68" s="104">
        <v>0.0665</v>
      </c>
      <c r="AB68" s="104">
        <v>0.9335</v>
      </c>
      <c r="AC68" s="105">
        <v>1.32</v>
      </c>
      <c r="AD68" s="105">
        <v>58.26</v>
      </c>
      <c r="AE68" s="105">
        <v>47</v>
      </c>
      <c r="AF68" s="110">
        <f t="shared" si="14"/>
        <v>0.0957716454463041</v>
      </c>
      <c r="AG68" s="111">
        <f t="shared" si="15"/>
        <v>0.947169142245417</v>
      </c>
      <c r="AH68" s="112">
        <f t="shared" si="16"/>
        <v>1.35150876488693</v>
      </c>
      <c r="AI68" s="113">
        <f t="shared" si="10"/>
        <v>0.101113561638275</v>
      </c>
      <c r="AJ68" s="113">
        <f t="shared" si="11"/>
        <v>0.017797403987689</v>
      </c>
    </row>
    <row r="69" ht="14.5" outlineLevel="1" spans="1:36">
      <c r="A69" s="101" t="s">
        <v>216</v>
      </c>
      <c r="B69" s="101" t="s">
        <v>217</v>
      </c>
      <c r="C69" s="109">
        <v>45583</v>
      </c>
      <c r="D69" s="101" t="s">
        <v>232</v>
      </c>
      <c r="E69" s="102">
        <v>7217.86</v>
      </c>
      <c r="F69" s="103">
        <v>86990</v>
      </c>
      <c r="G69" s="104">
        <v>0.0678</v>
      </c>
      <c r="H69" s="103">
        <v>5896</v>
      </c>
      <c r="I69" s="105">
        <v>82.97</v>
      </c>
      <c r="J69" s="105">
        <v>1.27</v>
      </c>
      <c r="K69" s="105">
        <v>120</v>
      </c>
      <c r="L69" s="103">
        <v>6432.21</v>
      </c>
      <c r="M69" s="105">
        <v>120</v>
      </c>
      <c r="N69" s="103">
        <v>6432.21</v>
      </c>
      <c r="O69" s="103">
        <v>2717.34</v>
      </c>
      <c r="P69" s="105">
        <v>1.27</v>
      </c>
      <c r="Q69" s="105">
        <v>1.22</v>
      </c>
      <c r="R69" s="105">
        <v>108</v>
      </c>
      <c r="S69" s="104">
        <v>0.0183</v>
      </c>
      <c r="T69" s="105">
        <v>66.83</v>
      </c>
      <c r="U69" s="105">
        <v>53.6</v>
      </c>
      <c r="V69" s="103">
        <v>7631</v>
      </c>
      <c r="W69" s="105">
        <v>0</v>
      </c>
      <c r="X69" s="104">
        <v>0</v>
      </c>
      <c r="Y69" s="105">
        <v>0</v>
      </c>
      <c r="Z69" s="102">
        <v>548.12</v>
      </c>
      <c r="AA69" s="104">
        <v>0.0852</v>
      </c>
      <c r="AB69" s="104">
        <v>0.9148</v>
      </c>
      <c r="AC69" s="105">
        <v>1.15</v>
      </c>
      <c r="AD69" s="105">
        <v>66.83</v>
      </c>
      <c r="AE69" s="105">
        <v>30</v>
      </c>
      <c r="AF69" s="110">
        <f t="shared" si="14"/>
        <v>0.0829734452235889</v>
      </c>
      <c r="AG69" s="111">
        <f t="shared" si="15"/>
        <v>0.945860306643952</v>
      </c>
      <c r="AH69" s="112">
        <f t="shared" si="16"/>
        <v>1.19899751015594</v>
      </c>
      <c r="AI69" s="113">
        <f t="shared" si="10"/>
        <v>0.0877227267502012</v>
      </c>
      <c r="AJ69" s="113">
        <f t="shared" si="11"/>
        <v>0.0141527977984537</v>
      </c>
    </row>
    <row r="70" ht="14.5" outlineLevel="1" spans="1:36">
      <c r="A70" s="101" t="s">
        <v>216</v>
      </c>
      <c r="B70" s="101" t="s">
        <v>217</v>
      </c>
      <c r="C70" s="109">
        <v>45583</v>
      </c>
      <c r="D70" s="101" t="s">
        <v>233</v>
      </c>
      <c r="E70" s="102">
        <v>3710.91</v>
      </c>
      <c r="F70" s="103">
        <v>51188</v>
      </c>
      <c r="G70" s="104">
        <v>0.0435</v>
      </c>
      <c r="H70" s="103">
        <v>2225</v>
      </c>
      <c r="I70" s="105">
        <v>72.5</v>
      </c>
      <c r="J70" s="105">
        <v>1.35</v>
      </c>
      <c r="K70" s="105">
        <v>64</v>
      </c>
      <c r="L70" s="103">
        <v>3679.28</v>
      </c>
      <c r="M70" s="105">
        <v>63</v>
      </c>
      <c r="N70" s="103">
        <v>3599.38</v>
      </c>
      <c r="O70" s="103">
        <v>1336.92</v>
      </c>
      <c r="P70" s="105">
        <v>1.33</v>
      </c>
      <c r="Q70" s="105">
        <v>1.67</v>
      </c>
      <c r="R70" s="105">
        <v>59</v>
      </c>
      <c r="S70" s="104">
        <v>0.0265</v>
      </c>
      <c r="T70" s="105">
        <v>62.9</v>
      </c>
      <c r="U70" s="105">
        <v>57.13</v>
      </c>
      <c r="V70" s="103">
        <v>2635</v>
      </c>
      <c r="W70" s="105">
        <v>0</v>
      </c>
      <c r="X70" s="104">
        <v>0</v>
      </c>
      <c r="Y70" s="105">
        <v>0</v>
      </c>
      <c r="Z70" s="102">
        <v>679.94</v>
      </c>
      <c r="AA70" s="104">
        <v>0.1889</v>
      </c>
      <c r="AB70" s="104">
        <v>0.8111</v>
      </c>
      <c r="AC70" s="105">
        <v>1.09</v>
      </c>
      <c r="AD70" s="105">
        <v>70.02</v>
      </c>
      <c r="AE70" s="105">
        <v>22</v>
      </c>
      <c r="AF70" s="110">
        <f t="shared" si="14"/>
        <v>0.0724957021176838</v>
      </c>
      <c r="AG70" s="111">
        <f t="shared" si="15"/>
        <v>1.40831499051233</v>
      </c>
      <c r="AH70" s="112">
        <f t="shared" si="16"/>
        <v>1.87335863377609</v>
      </c>
      <c r="AI70" s="113">
        <f t="shared" si="10"/>
        <v>0.051476908650465</v>
      </c>
      <c r="AJ70" s="113">
        <f t="shared" si="11"/>
        <v>0.0223908918406072</v>
      </c>
    </row>
    <row r="71" ht="14.5" outlineLevel="1" spans="1:36">
      <c r="A71" s="101" t="s">
        <v>216</v>
      </c>
      <c r="B71" s="101" t="s">
        <v>217</v>
      </c>
      <c r="C71" s="109">
        <v>45583</v>
      </c>
      <c r="D71" s="101" t="s">
        <v>234</v>
      </c>
      <c r="E71" s="102">
        <v>5210.56</v>
      </c>
      <c r="F71" s="103">
        <v>78003</v>
      </c>
      <c r="G71" s="104">
        <v>0.0454</v>
      </c>
      <c r="H71" s="103">
        <v>3538</v>
      </c>
      <c r="I71" s="105">
        <v>66.8</v>
      </c>
      <c r="J71" s="105">
        <v>1.75</v>
      </c>
      <c r="K71" s="105">
        <v>125</v>
      </c>
      <c r="L71" s="103">
        <v>6211.03</v>
      </c>
      <c r="M71" s="105">
        <v>122</v>
      </c>
      <c r="N71" s="103">
        <v>6082.93</v>
      </c>
      <c r="O71" s="103">
        <v>2907.9</v>
      </c>
      <c r="P71" s="105">
        <v>1.73</v>
      </c>
      <c r="Q71" s="105">
        <v>1.47</v>
      </c>
      <c r="R71" s="105">
        <v>121</v>
      </c>
      <c r="S71" s="104">
        <v>0.0342</v>
      </c>
      <c r="T71" s="105">
        <v>43.06</v>
      </c>
      <c r="U71" s="105">
        <v>49.86</v>
      </c>
      <c r="V71" s="103">
        <v>3949</v>
      </c>
      <c r="W71" s="105">
        <v>1</v>
      </c>
      <c r="X71" s="104">
        <v>0</v>
      </c>
      <c r="Y71" s="105">
        <v>0</v>
      </c>
      <c r="Z71" s="102">
        <v>630.06</v>
      </c>
      <c r="AA71" s="104">
        <v>0.1036</v>
      </c>
      <c r="AB71" s="104">
        <v>0.8964</v>
      </c>
      <c r="AC71" s="105">
        <v>1.53</v>
      </c>
      <c r="AD71" s="105">
        <v>48.7</v>
      </c>
      <c r="AE71" s="105">
        <v>26</v>
      </c>
      <c r="AF71" s="110">
        <f t="shared" si="14"/>
        <v>0.0667994820712024</v>
      </c>
      <c r="AG71" s="111">
        <f t="shared" si="15"/>
        <v>1.31946315522917</v>
      </c>
      <c r="AH71" s="112">
        <f t="shared" si="16"/>
        <v>2.2767358825019</v>
      </c>
      <c r="AI71" s="113">
        <f t="shared" si="10"/>
        <v>0.0506262579644373</v>
      </c>
      <c r="AJ71" s="113">
        <f t="shared" si="11"/>
        <v>0.0306406685236769</v>
      </c>
    </row>
    <row r="72" ht="14.5" outlineLevel="1" spans="1:36">
      <c r="A72" s="101" t="s">
        <v>216</v>
      </c>
      <c r="B72" s="101" t="s">
        <v>217</v>
      </c>
      <c r="C72" s="109">
        <v>45583</v>
      </c>
      <c r="D72" s="101" t="s">
        <v>235</v>
      </c>
      <c r="E72" s="102">
        <v>8411.73</v>
      </c>
      <c r="F72" s="103">
        <v>110075</v>
      </c>
      <c r="G72" s="104">
        <v>0.0545</v>
      </c>
      <c r="H72" s="103">
        <v>5996</v>
      </c>
      <c r="I72" s="105">
        <v>76.42</v>
      </c>
      <c r="J72" s="105">
        <v>1.5</v>
      </c>
      <c r="K72" s="105">
        <v>163</v>
      </c>
      <c r="L72" s="103">
        <v>8655.93</v>
      </c>
      <c r="M72" s="105">
        <v>161</v>
      </c>
      <c r="N72" s="103">
        <v>8526.13</v>
      </c>
      <c r="O72" s="103">
        <v>3958.37</v>
      </c>
      <c r="P72" s="105">
        <v>1.48</v>
      </c>
      <c r="Q72" s="105">
        <v>1.4</v>
      </c>
      <c r="R72" s="105">
        <v>167</v>
      </c>
      <c r="S72" s="104">
        <v>0.0279</v>
      </c>
      <c r="T72" s="105">
        <v>50.37</v>
      </c>
      <c r="U72" s="105">
        <v>52.96</v>
      </c>
      <c r="V72" s="103">
        <v>6669</v>
      </c>
      <c r="W72" s="105">
        <v>0</v>
      </c>
      <c r="X72" s="104">
        <v>0</v>
      </c>
      <c r="Y72" s="105">
        <v>0</v>
      </c>
      <c r="Z72" s="102">
        <v>988.9</v>
      </c>
      <c r="AA72" s="104">
        <v>0.116</v>
      </c>
      <c r="AB72" s="104">
        <v>0.884</v>
      </c>
      <c r="AC72" s="105">
        <v>1.3</v>
      </c>
      <c r="AD72" s="105">
        <v>60.08</v>
      </c>
      <c r="AE72" s="105">
        <v>44</v>
      </c>
      <c r="AF72" s="110">
        <f t="shared" si="14"/>
        <v>0.0764181694299341</v>
      </c>
      <c r="AG72" s="111">
        <f t="shared" si="15"/>
        <v>1.26131803868646</v>
      </c>
      <c r="AH72" s="112">
        <f t="shared" si="16"/>
        <v>1.87201979307242</v>
      </c>
      <c r="AI72" s="113">
        <f t="shared" si="10"/>
        <v>0.0605859641153759</v>
      </c>
      <c r="AJ72" s="113">
        <f t="shared" si="11"/>
        <v>0.0250412355675514</v>
      </c>
    </row>
    <row r="73" ht="14.5" outlineLevel="1" spans="1:36">
      <c r="A73" s="101" t="s">
        <v>216</v>
      </c>
      <c r="B73" s="101" t="s">
        <v>217</v>
      </c>
      <c r="C73" s="109">
        <v>45583</v>
      </c>
      <c r="D73" s="101" t="s">
        <v>236</v>
      </c>
      <c r="E73" s="102">
        <v>7926.95</v>
      </c>
      <c r="F73" s="103">
        <v>103408</v>
      </c>
      <c r="G73" s="104">
        <v>0.0683</v>
      </c>
      <c r="H73" s="103">
        <v>7066</v>
      </c>
      <c r="I73" s="105">
        <v>76.66</v>
      </c>
      <c r="J73" s="105">
        <v>1.33</v>
      </c>
      <c r="K73" s="105">
        <v>136</v>
      </c>
      <c r="L73" s="103">
        <v>7241.7</v>
      </c>
      <c r="M73" s="105">
        <v>134</v>
      </c>
      <c r="N73" s="103">
        <v>6805.3</v>
      </c>
      <c r="O73" s="103">
        <v>3318.65</v>
      </c>
      <c r="P73" s="105">
        <v>1.28</v>
      </c>
      <c r="Q73" s="105">
        <v>1.12</v>
      </c>
      <c r="R73" s="105">
        <v>133</v>
      </c>
      <c r="S73" s="104">
        <v>0.0188</v>
      </c>
      <c r="T73" s="105">
        <v>59.6</v>
      </c>
      <c r="U73" s="105">
        <v>50.79</v>
      </c>
      <c r="V73" s="103">
        <v>8242</v>
      </c>
      <c r="W73" s="105">
        <v>0</v>
      </c>
      <c r="X73" s="104">
        <v>0</v>
      </c>
      <c r="Y73" s="105">
        <v>0</v>
      </c>
      <c r="Z73" s="102">
        <v>1027.4</v>
      </c>
      <c r="AA73" s="104">
        <v>0.151</v>
      </c>
      <c r="AB73" s="104">
        <v>0.849</v>
      </c>
      <c r="AC73" s="105">
        <v>1.09</v>
      </c>
      <c r="AD73" s="105">
        <v>68.34</v>
      </c>
      <c r="AE73" s="105">
        <v>28</v>
      </c>
      <c r="AF73" s="110">
        <f t="shared" si="14"/>
        <v>0.0766570284697509</v>
      </c>
      <c r="AG73" s="111">
        <f t="shared" si="15"/>
        <v>0.961775054598398</v>
      </c>
      <c r="AH73" s="112">
        <f t="shared" si="16"/>
        <v>1.22833656879398</v>
      </c>
      <c r="AI73" s="113">
        <f t="shared" si="10"/>
        <v>0.0797036979730775</v>
      </c>
      <c r="AJ73" s="113">
        <f t="shared" si="11"/>
        <v>0.0161368599854404</v>
      </c>
    </row>
    <row r="74" ht="14.5" outlineLevel="1" spans="1:36">
      <c r="A74" s="101" t="s">
        <v>216</v>
      </c>
      <c r="B74" s="101" t="s">
        <v>217</v>
      </c>
      <c r="C74" s="109">
        <v>45583</v>
      </c>
      <c r="D74" s="101" t="s">
        <v>237</v>
      </c>
      <c r="E74" s="102">
        <v>9464.53</v>
      </c>
      <c r="F74" s="103">
        <v>124491</v>
      </c>
      <c r="G74" s="104">
        <v>0.0661</v>
      </c>
      <c r="H74" s="103">
        <v>8231</v>
      </c>
      <c r="I74" s="105">
        <v>76.03</v>
      </c>
      <c r="J74" s="105">
        <v>1.48</v>
      </c>
      <c r="K74" s="105">
        <v>187</v>
      </c>
      <c r="L74" s="103">
        <v>9536.47</v>
      </c>
      <c r="M74" s="105">
        <v>186</v>
      </c>
      <c r="N74" s="103">
        <v>9464.9</v>
      </c>
      <c r="O74" s="103">
        <v>4491.22</v>
      </c>
      <c r="P74" s="105">
        <v>1.47</v>
      </c>
      <c r="Q74" s="105">
        <v>1.15</v>
      </c>
      <c r="R74" s="105">
        <v>179</v>
      </c>
      <c r="S74" s="104">
        <v>0.0217</v>
      </c>
      <c r="T74" s="105">
        <v>52.87</v>
      </c>
      <c r="U74" s="105">
        <v>50.89</v>
      </c>
      <c r="V74" s="103">
        <v>9530</v>
      </c>
      <c r="W74" s="105">
        <v>0</v>
      </c>
      <c r="X74" s="104">
        <v>0</v>
      </c>
      <c r="Y74" s="105">
        <v>0</v>
      </c>
      <c r="Z74" s="102">
        <v>737.4</v>
      </c>
      <c r="AA74" s="104">
        <v>0.0779</v>
      </c>
      <c r="AB74" s="104">
        <v>0.9221</v>
      </c>
      <c r="AC74" s="105">
        <v>1.36</v>
      </c>
      <c r="AD74" s="105">
        <v>55.67</v>
      </c>
      <c r="AE74" s="105">
        <v>39</v>
      </c>
      <c r="AF74" s="110">
        <f t="shared" si="14"/>
        <v>0.0760258171273425</v>
      </c>
      <c r="AG74" s="111">
        <f t="shared" si="15"/>
        <v>0.993130115424974</v>
      </c>
      <c r="AH74" s="112">
        <f t="shared" si="16"/>
        <v>1.4644407135362</v>
      </c>
      <c r="AI74" s="113">
        <f t="shared" si="10"/>
        <v>0.0765517185981316</v>
      </c>
      <c r="AJ74" s="113">
        <f t="shared" si="11"/>
        <v>0.0187827911857293</v>
      </c>
    </row>
    <row r="75" ht="14.5" outlineLevel="1" spans="1:36">
      <c r="A75" s="101" t="s">
        <v>216</v>
      </c>
      <c r="B75" s="101" t="s">
        <v>217</v>
      </c>
      <c r="C75" s="109">
        <v>45583</v>
      </c>
      <c r="D75" s="101" t="s">
        <v>238</v>
      </c>
      <c r="E75" s="102">
        <v>7624.8</v>
      </c>
      <c r="F75" s="103">
        <v>99686</v>
      </c>
      <c r="G75" s="104">
        <v>0.0577</v>
      </c>
      <c r="H75" s="103">
        <v>5755</v>
      </c>
      <c r="I75" s="105">
        <v>76.49</v>
      </c>
      <c r="J75" s="105">
        <v>1.37</v>
      </c>
      <c r="K75" s="105">
        <v>136</v>
      </c>
      <c r="L75" s="103">
        <v>7495.5</v>
      </c>
      <c r="M75" s="105">
        <v>135</v>
      </c>
      <c r="N75" s="103">
        <v>7422.99</v>
      </c>
      <c r="O75" s="103">
        <v>2930.61</v>
      </c>
      <c r="P75" s="105">
        <v>1.36</v>
      </c>
      <c r="Q75" s="105">
        <v>1.32</v>
      </c>
      <c r="R75" s="105">
        <v>137</v>
      </c>
      <c r="S75" s="104">
        <v>0.0238</v>
      </c>
      <c r="T75" s="105">
        <v>55.66</v>
      </c>
      <c r="U75" s="105">
        <v>54.99</v>
      </c>
      <c r="V75" s="103">
        <v>6738</v>
      </c>
      <c r="W75" s="105">
        <v>0</v>
      </c>
      <c r="X75" s="104">
        <v>0</v>
      </c>
      <c r="Y75" s="105">
        <v>0</v>
      </c>
      <c r="Z75" s="102">
        <v>955.64</v>
      </c>
      <c r="AA75" s="104">
        <v>0.1287</v>
      </c>
      <c r="AB75" s="104">
        <v>0.8713</v>
      </c>
      <c r="AC75" s="105">
        <v>1.2</v>
      </c>
      <c r="AD75" s="105">
        <v>64.07</v>
      </c>
      <c r="AE75" s="105">
        <v>28</v>
      </c>
      <c r="AF75" s="110">
        <f t="shared" si="14"/>
        <v>0.0764881728627892</v>
      </c>
      <c r="AG75" s="111">
        <f t="shared" si="15"/>
        <v>1.13161175422974</v>
      </c>
      <c r="AH75" s="112">
        <f t="shared" si="16"/>
        <v>1.53659839715049</v>
      </c>
      <c r="AI75" s="113">
        <f t="shared" si="10"/>
        <v>0.0675922396324459</v>
      </c>
      <c r="AJ75" s="113">
        <f t="shared" si="11"/>
        <v>0.0203324428613832</v>
      </c>
    </row>
    <row r="76" ht="14.5" outlineLevel="1" spans="1:36">
      <c r="A76" s="101" t="s">
        <v>216</v>
      </c>
      <c r="B76" s="101" t="s">
        <v>217</v>
      </c>
      <c r="C76" s="109">
        <v>45583</v>
      </c>
      <c r="D76" s="101" t="s">
        <v>239</v>
      </c>
      <c r="E76" s="102">
        <v>5178.22</v>
      </c>
      <c r="F76" s="103">
        <v>72086</v>
      </c>
      <c r="G76" s="104">
        <v>0.0514</v>
      </c>
      <c r="H76" s="103">
        <v>3706</v>
      </c>
      <c r="I76" s="105">
        <v>71.83</v>
      </c>
      <c r="J76" s="105">
        <v>1.33</v>
      </c>
      <c r="K76" s="105">
        <v>90</v>
      </c>
      <c r="L76" s="103">
        <v>5138.17</v>
      </c>
      <c r="M76" s="105">
        <v>88</v>
      </c>
      <c r="N76" s="103">
        <v>5055.44</v>
      </c>
      <c r="O76" s="103">
        <v>1771.86</v>
      </c>
      <c r="P76" s="105">
        <v>1.32</v>
      </c>
      <c r="Q76" s="105">
        <v>1.4</v>
      </c>
      <c r="R76" s="105">
        <v>84</v>
      </c>
      <c r="S76" s="104">
        <v>0.0227</v>
      </c>
      <c r="T76" s="105">
        <v>61.65</v>
      </c>
      <c r="U76" s="105">
        <v>57.45</v>
      </c>
      <c r="V76" s="103">
        <v>4396</v>
      </c>
      <c r="W76" s="105">
        <v>0</v>
      </c>
      <c r="X76" s="104">
        <v>0</v>
      </c>
      <c r="Y76" s="105">
        <v>0</v>
      </c>
      <c r="Z76" s="102">
        <v>943.6</v>
      </c>
      <c r="AA76" s="104">
        <v>0.1867</v>
      </c>
      <c r="AB76" s="104">
        <v>0.8133</v>
      </c>
      <c r="AC76" s="105">
        <v>1.09</v>
      </c>
      <c r="AD76" s="105">
        <v>70.93</v>
      </c>
      <c r="AE76" s="105">
        <v>26</v>
      </c>
      <c r="AF76" s="110">
        <f t="shared" si="14"/>
        <v>0.071833920594845</v>
      </c>
      <c r="AG76" s="111">
        <f t="shared" si="15"/>
        <v>1.17793903548681</v>
      </c>
      <c r="AH76" s="112">
        <f t="shared" si="16"/>
        <v>1.55307097361237</v>
      </c>
      <c r="AI76" s="113">
        <f t="shared" si="10"/>
        <v>0.0609827150903088</v>
      </c>
      <c r="AJ76" s="113">
        <f t="shared" si="11"/>
        <v>0.0191082802547771</v>
      </c>
    </row>
    <row r="77" ht="14.5" outlineLevel="1" spans="1:36">
      <c r="A77" s="101" t="s">
        <v>216</v>
      </c>
      <c r="B77" s="101" t="s">
        <v>217</v>
      </c>
      <c r="C77" s="109">
        <v>45583</v>
      </c>
      <c r="D77" s="101" t="s">
        <v>240</v>
      </c>
      <c r="E77" s="102">
        <v>6329.13</v>
      </c>
      <c r="F77" s="103">
        <v>76499</v>
      </c>
      <c r="G77" s="104">
        <v>0.05</v>
      </c>
      <c r="H77" s="103">
        <v>3828</v>
      </c>
      <c r="I77" s="105">
        <v>82.73</v>
      </c>
      <c r="J77" s="105">
        <v>1.79</v>
      </c>
      <c r="K77" s="105">
        <v>146</v>
      </c>
      <c r="L77" s="103">
        <v>8082.77</v>
      </c>
      <c r="M77" s="105">
        <v>143</v>
      </c>
      <c r="N77" s="103">
        <v>7916.07</v>
      </c>
      <c r="O77" s="103">
        <v>3256.08</v>
      </c>
      <c r="P77" s="105">
        <v>1.77</v>
      </c>
      <c r="Q77" s="105">
        <v>1.65</v>
      </c>
      <c r="R77" s="105">
        <v>145</v>
      </c>
      <c r="S77" s="104">
        <v>0.0379</v>
      </c>
      <c r="T77" s="105">
        <v>43.65</v>
      </c>
      <c r="U77" s="105">
        <v>55.36</v>
      </c>
      <c r="V77" s="103">
        <v>4313</v>
      </c>
      <c r="W77" s="105">
        <v>0</v>
      </c>
      <c r="X77" s="104">
        <v>0</v>
      </c>
      <c r="Y77" s="105">
        <v>0</v>
      </c>
      <c r="Z77" s="102">
        <v>688.22</v>
      </c>
      <c r="AA77" s="104">
        <v>0.0869</v>
      </c>
      <c r="AB77" s="104">
        <v>0.9131</v>
      </c>
      <c r="AC77" s="105">
        <v>1.6</v>
      </c>
      <c r="AD77" s="105">
        <v>49.45</v>
      </c>
      <c r="AE77" s="105">
        <v>34</v>
      </c>
      <c r="AF77" s="110">
        <f t="shared" si="14"/>
        <v>0.0827348069909411</v>
      </c>
      <c r="AG77" s="111">
        <f t="shared" si="15"/>
        <v>1.46745420820774</v>
      </c>
      <c r="AH77" s="112">
        <f t="shared" si="16"/>
        <v>2.59034314862045</v>
      </c>
      <c r="AI77" s="113">
        <f t="shared" si="10"/>
        <v>0.056379821958457</v>
      </c>
      <c r="AJ77" s="113">
        <f t="shared" si="11"/>
        <v>0.0336192905170415</v>
      </c>
    </row>
    <row r="78" ht="14.5" outlineLevel="1" spans="1:36">
      <c r="A78" s="101" t="s">
        <v>216</v>
      </c>
      <c r="B78" s="101" t="s">
        <v>217</v>
      </c>
      <c r="C78" s="109">
        <v>45583</v>
      </c>
      <c r="D78" s="101" t="s">
        <v>241</v>
      </c>
      <c r="E78" s="102">
        <v>9216.94</v>
      </c>
      <c r="F78" s="103">
        <v>116648</v>
      </c>
      <c r="G78" s="104">
        <v>0.046</v>
      </c>
      <c r="H78" s="103">
        <v>5371</v>
      </c>
      <c r="I78" s="105">
        <v>79.01</v>
      </c>
      <c r="J78" s="105">
        <v>1.22</v>
      </c>
      <c r="K78" s="105">
        <v>148</v>
      </c>
      <c r="L78" s="103">
        <v>7905.56</v>
      </c>
      <c r="M78" s="105">
        <v>146</v>
      </c>
      <c r="N78" s="103">
        <v>7847.96</v>
      </c>
      <c r="O78" s="103">
        <v>3364.86</v>
      </c>
      <c r="P78" s="105">
        <v>1.22</v>
      </c>
      <c r="Q78" s="105">
        <v>1.72</v>
      </c>
      <c r="R78" s="105">
        <v>146</v>
      </c>
      <c r="S78" s="104">
        <v>0.0272</v>
      </c>
      <c r="T78" s="105">
        <v>63.13</v>
      </c>
      <c r="U78" s="105">
        <v>53.75</v>
      </c>
      <c r="V78" s="103">
        <v>6091</v>
      </c>
      <c r="W78" s="105">
        <v>0</v>
      </c>
      <c r="X78" s="104">
        <v>0</v>
      </c>
      <c r="Y78" s="105">
        <v>0</v>
      </c>
      <c r="Z78" s="102">
        <v>509.67</v>
      </c>
      <c r="AA78" s="104">
        <v>0.0649</v>
      </c>
      <c r="AB78" s="104">
        <v>0.9351</v>
      </c>
      <c r="AC78" s="105">
        <v>1.14</v>
      </c>
      <c r="AD78" s="105">
        <v>68.27</v>
      </c>
      <c r="AE78" s="105">
        <v>39</v>
      </c>
      <c r="AF78" s="110">
        <f t="shared" si="14"/>
        <v>0.0790149852547836</v>
      </c>
      <c r="AG78" s="111">
        <f t="shared" si="15"/>
        <v>1.51320637005418</v>
      </c>
      <c r="AH78" s="112">
        <f t="shared" si="16"/>
        <v>1.84088327039895</v>
      </c>
      <c r="AI78" s="113">
        <f t="shared" si="10"/>
        <v>0.0522169261367533</v>
      </c>
      <c r="AJ78" s="113">
        <f t="shared" si="11"/>
        <v>0.0239697914956493</v>
      </c>
    </row>
    <row r="79" ht="14.5" outlineLevel="1" spans="1:36">
      <c r="A79" s="101" t="s">
        <v>216</v>
      </c>
      <c r="B79" s="101" t="s">
        <v>217</v>
      </c>
      <c r="C79" s="109">
        <v>45583</v>
      </c>
      <c r="D79" s="101" t="s">
        <v>242</v>
      </c>
      <c r="E79" s="102">
        <v>7644.21</v>
      </c>
      <c r="F79" s="103">
        <v>94630</v>
      </c>
      <c r="G79" s="104">
        <v>0.0494</v>
      </c>
      <c r="H79" s="103">
        <v>4673</v>
      </c>
      <c r="I79" s="105">
        <v>80.78</v>
      </c>
      <c r="J79" s="105">
        <v>1.62</v>
      </c>
      <c r="K79" s="105">
        <v>163</v>
      </c>
      <c r="L79" s="103">
        <v>8762.07</v>
      </c>
      <c r="M79" s="105">
        <v>159</v>
      </c>
      <c r="N79" s="103">
        <v>8493.47</v>
      </c>
      <c r="O79" s="103">
        <v>3633.28</v>
      </c>
      <c r="P79" s="105">
        <v>1.59</v>
      </c>
      <c r="Q79" s="105">
        <v>1.64</v>
      </c>
      <c r="R79" s="105">
        <v>154</v>
      </c>
      <c r="S79" s="104">
        <v>0.033</v>
      </c>
      <c r="T79" s="105">
        <v>49.64</v>
      </c>
      <c r="U79" s="105">
        <v>53.42</v>
      </c>
      <c r="V79" s="103">
        <v>5340</v>
      </c>
      <c r="W79" s="105">
        <v>0</v>
      </c>
      <c r="X79" s="104">
        <v>0</v>
      </c>
      <c r="Y79" s="105">
        <v>0</v>
      </c>
      <c r="Z79" s="102">
        <v>925.97</v>
      </c>
      <c r="AA79" s="104">
        <v>0.109</v>
      </c>
      <c r="AB79" s="104">
        <v>0.891</v>
      </c>
      <c r="AC79" s="105">
        <v>1.4</v>
      </c>
      <c r="AD79" s="105">
        <v>54.99</v>
      </c>
      <c r="AE79" s="105">
        <v>35</v>
      </c>
      <c r="AF79" s="110">
        <f t="shared" si="14"/>
        <v>0.0807799852055373</v>
      </c>
      <c r="AG79" s="111">
        <f t="shared" si="15"/>
        <v>1.4315</v>
      </c>
      <c r="AH79" s="112">
        <f t="shared" si="16"/>
        <v>2.27092696629213</v>
      </c>
      <c r="AI79" s="113">
        <f t="shared" si="10"/>
        <v>0.0564303075134735</v>
      </c>
      <c r="AJ79" s="113">
        <f t="shared" si="11"/>
        <v>0.0288389513108614</v>
      </c>
    </row>
  </sheetData>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zoomScale="78" zoomScaleNormal="78" workbookViewId="0">
      <selection activeCell="F10" sqref="F10"/>
    </sheetView>
  </sheetViews>
  <sheetFormatPr defaultColWidth="8.72727272727273" defaultRowHeight="14"/>
  <cols>
    <col min="1" max="1" width="8.72727272727273" style="5"/>
    <col min="2" max="2" width="13.9181818181818" style="5" customWidth="1"/>
    <col min="3" max="3" width="19.6" style="5" customWidth="1"/>
    <col min="4" max="4" width="23.3090909090909" style="5" customWidth="1"/>
    <col min="5" max="5" width="23.3909090909091" style="5" customWidth="1"/>
    <col min="6" max="6" width="17.9454545454545" style="5" customWidth="1"/>
    <col min="7" max="7" width="18.4090909090909" style="5" customWidth="1"/>
    <col min="8" max="8" width="16.8363636363636" style="5" customWidth="1"/>
    <col min="9" max="10" width="12.8181818181818" style="5"/>
    <col min="11" max="16384" width="8.72727272727273" style="5"/>
  </cols>
  <sheetData>
    <row r="1" ht="115" customHeight="1" spans="1:13">
      <c r="A1" s="36" t="s">
        <v>243</v>
      </c>
      <c r="B1" s="36"/>
      <c r="C1" s="36"/>
      <c r="D1" s="36"/>
      <c r="E1" s="36"/>
      <c r="F1" s="36"/>
      <c r="G1" s="36"/>
      <c r="H1" s="36"/>
    </row>
    <row r="2" customFormat="1" ht="20" customHeight="1" spans="1:13">
      <c r="A2" s="37" t="s">
        <v>244</v>
      </c>
      <c r="B2" s="38" t="s">
        <v>245</v>
      </c>
      <c r="C2" s="38"/>
      <c r="D2" s="38"/>
      <c r="E2" s="38"/>
      <c r="F2" s="38"/>
      <c r="G2" s="38"/>
      <c r="H2" s="38"/>
    </row>
    <row r="3" s="4" customFormat="1" ht="19" customHeight="1" spans="1:13">
      <c r="A3" s="37"/>
      <c r="B3" s="39">
        <v>45582</v>
      </c>
      <c r="C3" s="40"/>
      <c r="D3" s="40"/>
      <c r="E3" s="40"/>
      <c r="F3" s="40"/>
      <c r="G3" s="40"/>
      <c r="H3" s="40"/>
    </row>
    <row r="4" s="4" customFormat="1" ht="19" customHeight="1" spans="1:13">
      <c r="A4" s="37"/>
      <c r="B4" s="41" t="s">
        <v>246</v>
      </c>
      <c r="C4" s="41"/>
      <c r="D4" s="42">
        <v>2300000</v>
      </c>
      <c r="E4" s="41" t="s">
        <v>247</v>
      </c>
      <c r="F4" s="41">
        <v>1.2</v>
      </c>
      <c r="G4" s="41" t="s">
        <v>248</v>
      </c>
      <c r="H4" s="42">
        <f>D4/F4</f>
        <v>1916666.66666667</v>
      </c>
    </row>
    <row r="5" customFormat="1" ht="24" customHeight="1" spans="1:13">
      <c r="A5" s="37"/>
      <c r="B5" s="43" t="s">
        <v>249</v>
      </c>
      <c r="C5" s="44"/>
      <c r="D5" s="45">
        <f>D4*(E21/H21)</f>
        <v>1587704.95910213</v>
      </c>
      <c r="E5" s="46"/>
      <c r="F5" s="46"/>
      <c r="G5" s="46"/>
      <c r="H5" s="47"/>
      <c r="I5" s="35"/>
      <c r="J5" s="35"/>
      <c r="M5" s="35"/>
    </row>
    <row r="6" ht="24" customHeight="1" spans="1:13">
      <c r="A6" s="37"/>
      <c r="B6" s="48" t="s">
        <v>250</v>
      </c>
      <c r="C6" s="48"/>
      <c r="D6" s="49" t="s">
        <v>251</v>
      </c>
      <c r="E6" s="50">
        <v>79.9</v>
      </c>
      <c r="F6" s="49" t="s">
        <v>252</v>
      </c>
      <c r="G6" s="51">
        <f>VLOOKUP(B3,推广数据统计!$A:$AJ,18,FALSE)</f>
        <v>49.9</v>
      </c>
      <c r="H6" s="52"/>
      <c r="I6" s="35"/>
      <c r="J6" s="35"/>
      <c r="M6" s="35"/>
    </row>
    <row r="7" ht="20" customHeight="1" spans="1:13">
      <c r="A7" s="37"/>
      <c r="B7" s="53" t="s">
        <v>253</v>
      </c>
      <c r="C7" s="53"/>
      <c r="D7" s="49" t="s">
        <v>254</v>
      </c>
      <c r="E7" s="49" t="s">
        <v>255</v>
      </c>
      <c r="F7" s="49" t="s">
        <v>256</v>
      </c>
      <c r="G7" s="49" t="s">
        <v>257</v>
      </c>
      <c r="H7" s="49"/>
      <c r="M7" s="35"/>
    </row>
    <row r="8" ht="20" customHeight="1" spans="1:13">
      <c r="A8" s="37"/>
      <c r="B8" s="53"/>
      <c r="C8" s="53"/>
      <c r="D8" s="54">
        <f>VLOOKUP(B3,推广数据统计!$A:$AJ,4,FALSE)</f>
        <v>0.0516</v>
      </c>
      <c r="E8" s="54">
        <f>VLOOKUP(B3,推广数据统计!$A:$AJ,16,FALSE)</f>
        <v>0.0342</v>
      </c>
      <c r="F8" s="55">
        <f>D5/G6/E8/D8</f>
        <v>18029905.3965191</v>
      </c>
      <c r="G8" s="56">
        <f>F8*D8</f>
        <v>930343.118460386</v>
      </c>
      <c r="H8" s="56"/>
    </row>
    <row r="9" ht="20" customHeight="1" spans="1:13">
      <c r="A9" s="37"/>
      <c r="B9" s="48" t="s">
        <v>258</v>
      </c>
      <c r="C9" s="48"/>
      <c r="D9" s="49" t="s">
        <v>42</v>
      </c>
      <c r="E9" s="49" t="s">
        <v>256</v>
      </c>
      <c r="F9" s="49" t="s">
        <v>259</v>
      </c>
      <c r="G9" s="49" t="s">
        <v>260</v>
      </c>
      <c r="H9" s="49"/>
    </row>
    <row r="10" ht="20" customHeight="1" spans="1:13">
      <c r="A10" s="37"/>
      <c r="B10" s="48"/>
      <c r="C10" s="48"/>
      <c r="D10" s="57">
        <f>VLOOKUP(B3,推广数据统计!$A:$AJ,34,FALSE)</f>
        <v>2.18413616394713</v>
      </c>
      <c r="E10" s="55">
        <f>G10/F10</f>
        <v>18856139.2176438</v>
      </c>
      <c r="F10" s="58">
        <f>VLOOKUP(B3,推广数据统计!$A:$AJ,35,FALSE)</f>
        <v>0.0558464215552323</v>
      </c>
      <c r="G10" s="56">
        <f>D4/D10</f>
        <v>1053047.89965269</v>
      </c>
      <c r="H10" s="56"/>
    </row>
    <row r="11" ht="18" customHeight="1" spans="1:13">
      <c r="A11" s="37"/>
      <c r="B11" s="48" t="s">
        <v>261</v>
      </c>
      <c r="C11" s="48"/>
      <c r="D11" s="49" t="s">
        <v>262</v>
      </c>
      <c r="E11" s="49" t="s">
        <v>256</v>
      </c>
      <c r="F11" s="49" t="s">
        <v>259</v>
      </c>
      <c r="G11" s="49" t="s">
        <v>260</v>
      </c>
      <c r="H11" s="49"/>
    </row>
    <row r="12" ht="18" customHeight="1" spans="1:13">
      <c r="A12" s="37"/>
      <c r="B12" s="48"/>
      <c r="C12" s="48"/>
      <c r="D12" s="54">
        <f>VLOOKUP(B3,推广数据统计!$A:$AK,37,FALSE)</f>
        <v>0.0315912316770696</v>
      </c>
      <c r="E12" s="55">
        <f>G12/F12</f>
        <v>18034634.5756968</v>
      </c>
      <c r="F12" s="58">
        <f>F10</f>
        <v>0.0558464215552323</v>
      </c>
      <c r="G12" s="56">
        <f>D5/G6/D12</f>
        <v>1007169.80510893</v>
      </c>
      <c r="H12" s="56"/>
      <c r="I12" s="3"/>
      <c r="J12" s="3"/>
      <c r="K12" s="3"/>
    </row>
    <row r="13" ht="22" customHeight="1" spans="1:13">
      <c r="A13" s="37"/>
      <c r="B13" s="48" t="s">
        <v>263</v>
      </c>
      <c r="C13" s="48"/>
      <c r="D13" s="49" t="s">
        <v>7</v>
      </c>
      <c r="E13" s="49" t="s">
        <v>256</v>
      </c>
      <c r="F13" s="49" t="s">
        <v>5</v>
      </c>
      <c r="G13" s="49" t="s">
        <v>260</v>
      </c>
      <c r="H13" s="49"/>
      <c r="I13" s="3"/>
      <c r="J13" s="3"/>
      <c r="K13" s="3"/>
    </row>
    <row r="14" ht="22" customHeight="1" spans="1:13">
      <c r="A14" s="37"/>
      <c r="B14" s="48"/>
      <c r="C14" s="48"/>
      <c r="D14" s="59">
        <f>VLOOKUP(B3,推广数据统计!$A:$AJ,6,FALSE)</f>
        <v>96.2</v>
      </c>
      <c r="E14" s="55">
        <f>H4/(D14/1000)</f>
        <v>19923769.92377</v>
      </c>
      <c r="F14" s="60">
        <f>D8</f>
        <v>0.0516</v>
      </c>
      <c r="G14" s="56">
        <f>E14*F14</f>
        <v>1028066.52806653</v>
      </c>
      <c r="H14" s="56"/>
      <c r="I14" s="3"/>
      <c r="J14" s="3"/>
      <c r="K14" s="3"/>
    </row>
    <row r="15" ht="23" customHeight="1" spans="1:13">
      <c r="A15" s="61"/>
      <c r="B15" s="48" t="s">
        <v>264</v>
      </c>
      <c r="C15" s="48"/>
      <c r="D15" s="49" t="s">
        <v>13</v>
      </c>
      <c r="E15" s="49" t="s">
        <v>256</v>
      </c>
      <c r="F15" s="49" t="s">
        <v>15</v>
      </c>
      <c r="G15" s="49" t="s">
        <v>260</v>
      </c>
      <c r="H15" s="49"/>
      <c r="I15" s="3"/>
      <c r="J15" s="3"/>
      <c r="K15" s="3"/>
    </row>
    <row r="16" ht="21" customHeight="1" spans="1:13">
      <c r="A16" s="61"/>
      <c r="B16" s="48"/>
      <c r="C16" s="48"/>
      <c r="D16" s="62">
        <f>VLOOKUP(B3,推广数据统计!$A:$AJ,32,FALSE)</f>
        <v>0.0962008951543027</v>
      </c>
      <c r="E16" s="55">
        <f>H4/D16</f>
        <v>19923584.5320608</v>
      </c>
      <c r="F16" s="57">
        <f>VLOOKUP(B3,推广数据统计!$A:$AJ,33,FALSE)</f>
        <v>1.72259730301895</v>
      </c>
      <c r="G16" s="56">
        <f>H4/F16</f>
        <v>1112660.90066878</v>
      </c>
      <c r="H16" s="56"/>
      <c r="I16" s="3"/>
      <c r="J16" s="3"/>
      <c r="K16" s="3"/>
    </row>
    <row r="17" ht="23" customHeight="1" spans="1:11">
      <c r="A17" s="63" t="s">
        <v>265</v>
      </c>
      <c r="B17" s="38" t="s">
        <v>266</v>
      </c>
      <c r="C17" s="38"/>
      <c r="D17" s="38"/>
      <c r="E17" s="38"/>
      <c r="F17" s="38"/>
      <c r="G17" s="38"/>
      <c r="H17" s="38"/>
      <c r="I17" s="3"/>
      <c r="J17" s="3"/>
      <c r="K17" s="3"/>
    </row>
    <row r="18" ht="19" customHeight="1" spans="1:11">
      <c r="A18" s="37"/>
      <c r="B18" s="41" t="s">
        <v>267</v>
      </c>
      <c r="C18" s="41"/>
      <c r="D18" s="64">
        <f>B3</f>
        <v>45582</v>
      </c>
      <c r="E18" s="65"/>
      <c r="F18" s="65"/>
      <c r="G18" s="65"/>
      <c r="H18" s="65"/>
      <c r="I18" s="3"/>
      <c r="J18" s="3"/>
      <c r="K18" s="3"/>
    </row>
    <row r="19" ht="19" customHeight="1" spans="1:11">
      <c r="A19" s="37"/>
      <c r="B19" s="41" t="s">
        <v>268</v>
      </c>
      <c r="C19" s="41"/>
      <c r="D19" s="66">
        <v>79.9</v>
      </c>
      <c r="E19" s="66"/>
      <c r="F19" s="66"/>
      <c r="G19" s="66"/>
      <c r="H19" s="66"/>
      <c r="I19" s="3"/>
      <c r="J19" s="3"/>
      <c r="K19" s="3"/>
    </row>
    <row r="20" ht="32" customHeight="1" spans="1:11">
      <c r="A20" s="37"/>
      <c r="B20" s="67" t="s">
        <v>269</v>
      </c>
      <c r="C20" s="68"/>
      <c r="D20" s="49" t="s">
        <v>89</v>
      </c>
      <c r="E20" s="49" t="s">
        <v>97</v>
      </c>
      <c r="F20" s="49" t="s">
        <v>270</v>
      </c>
      <c r="G20" s="49" t="s">
        <v>202</v>
      </c>
      <c r="H20" s="49" t="s">
        <v>271</v>
      </c>
      <c r="I20" s="3"/>
      <c r="J20" s="3"/>
      <c r="K20" s="3"/>
    </row>
    <row r="21" ht="19" customHeight="1" spans="1:11">
      <c r="A21" s="37"/>
      <c r="B21" s="68"/>
      <c r="C21" s="68"/>
      <c r="D21" s="69">
        <f>VLOOKUP(B3,推广数据统计!$A:$AJ,2,FALSE)</f>
        <v>1071632.95</v>
      </c>
      <c r="E21" s="69">
        <f>VLOOKUP(B3,推广数据统计!$A:$AJ,11,FALSE)</f>
        <v>937959.25</v>
      </c>
      <c r="F21" s="70">
        <f>VLOOKUP(B3,推广数据统计!$A:$AJ,12,FALSE)</f>
        <v>420798.41</v>
      </c>
      <c r="G21" s="71">
        <f>VLOOKUP(B3,推广数据统计!$A:$AJ,13,FALSE)</f>
        <v>1.27</v>
      </c>
      <c r="H21" s="70">
        <f>E21+F21</f>
        <v>1358757.66</v>
      </c>
    </row>
    <row r="22" ht="19" customHeight="1" spans="1:11">
      <c r="A22" s="37"/>
      <c r="B22" s="68"/>
      <c r="C22" s="68"/>
      <c r="D22" s="49" t="s">
        <v>272</v>
      </c>
      <c r="E22" s="49" t="s">
        <v>262</v>
      </c>
      <c r="F22" s="49"/>
      <c r="G22" s="49" t="s">
        <v>13</v>
      </c>
      <c r="H22" s="49"/>
    </row>
    <row r="23" ht="19" customHeight="1" spans="1:11">
      <c r="A23" s="37"/>
      <c r="B23" s="68"/>
      <c r="C23" s="68"/>
      <c r="D23" s="72">
        <f>VLOOKUP(B3,推广数据统计!$A:$AJ,18,FALSE)</f>
        <v>49.9</v>
      </c>
      <c r="E23" s="73">
        <f>VLOOKUP(B3,推广数据统计!$A:$AK,37,FALSE)</f>
        <v>0.0315912316770696</v>
      </c>
      <c r="F23" s="73"/>
      <c r="G23" s="74">
        <f>D16</f>
        <v>0.0962008951543027</v>
      </c>
      <c r="H23" s="74"/>
    </row>
    <row r="24" ht="22" customHeight="1" spans="1:11">
      <c r="A24" s="37"/>
      <c r="B24" s="68"/>
      <c r="C24" s="68"/>
      <c r="D24" s="49" t="s">
        <v>273</v>
      </c>
      <c r="E24" s="49" t="s">
        <v>274</v>
      </c>
      <c r="F24" s="49" t="s">
        <v>275</v>
      </c>
      <c r="G24" s="49" t="s">
        <v>276</v>
      </c>
      <c r="H24" s="49" t="s">
        <v>15</v>
      </c>
    </row>
    <row r="25" ht="21" customHeight="1" spans="1:11">
      <c r="A25" s="37"/>
      <c r="B25" s="68"/>
      <c r="C25" s="68"/>
      <c r="D25" s="69">
        <f>VLOOKUP(B3,推广数据统计!$A:$AJ,3,FALSE)</f>
        <v>11139532</v>
      </c>
      <c r="E25" s="69">
        <f>VLOOKUP(B3,推广数据统计!$A:$AJ,19,FALSE)</f>
        <v>622103</v>
      </c>
      <c r="F25" s="60">
        <f>D8</f>
        <v>0.0516</v>
      </c>
      <c r="G25" s="60">
        <f>E8</f>
        <v>0.0342</v>
      </c>
      <c r="H25" s="75">
        <f>F16</f>
        <v>1.72259730301895</v>
      </c>
    </row>
    <row r="26" ht="21" customHeight="1" spans="1:11">
      <c r="A26" s="37"/>
      <c r="B26" s="76" t="s">
        <v>277</v>
      </c>
      <c r="C26" s="77" t="s">
        <v>278</v>
      </c>
      <c r="D26" s="49" t="s">
        <v>279</v>
      </c>
      <c r="E26" s="49" t="s">
        <v>280</v>
      </c>
      <c r="F26" s="78" t="s">
        <v>281</v>
      </c>
      <c r="G26" s="79"/>
      <c r="H26" s="49" t="s">
        <v>282</v>
      </c>
    </row>
    <row r="27" ht="21" customHeight="1" spans="1:11">
      <c r="A27" s="37"/>
      <c r="B27" s="80"/>
      <c r="C27" s="81"/>
      <c r="D27" s="82">
        <f>G23</f>
        <v>0.0962008951543027</v>
      </c>
      <c r="E27" s="83">
        <f>H4</f>
        <v>1916666.66666667</v>
      </c>
      <c r="F27" s="84">
        <f>E27/D27</f>
        <v>19923584.5320608</v>
      </c>
      <c r="G27" s="85"/>
      <c r="H27" s="71">
        <f>D23</f>
        <v>49.9</v>
      </c>
    </row>
    <row r="28" ht="21" customHeight="1" spans="1:11">
      <c r="A28" s="37"/>
      <c r="B28" s="80"/>
      <c r="C28" s="81"/>
      <c r="D28" s="49" t="s">
        <v>283</v>
      </c>
      <c r="E28" s="49" t="s">
        <v>284</v>
      </c>
      <c r="F28" s="49" t="s">
        <v>285</v>
      </c>
      <c r="G28" s="49" t="s">
        <v>286</v>
      </c>
      <c r="H28" s="49" t="s">
        <v>287</v>
      </c>
    </row>
    <row r="29" ht="21" customHeight="1" spans="1:11">
      <c r="A29" s="37"/>
      <c r="B29" s="80"/>
      <c r="C29" s="86"/>
      <c r="D29" s="87">
        <v>0.0516</v>
      </c>
      <c r="E29" s="87">
        <v>0.0342</v>
      </c>
      <c r="F29" s="88">
        <f>F27*D29*E29*H27</f>
        <v>1754461.44996138</v>
      </c>
      <c r="G29" s="88">
        <f>F29*(F21/E21)</f>
        <v>787107.31681578</v>
      </c>
      <c r="H29" s="88">
        <f>F29+G29</f>
        <v>2541568.76677716</v>
      </c>
    </row>
    <row r="30" ht="21" customHeight="1" spans="1:11">
      <c r="A30" s="37"/>
      <c r="B30" s="80"/>
      <c r="C30" s="77" t="s">
        <v>288</v>
      </c>
      <c r="D30" s="49" t="s">
        <v>154</v>
      </c>
      <c r="E30" s="49" t="s">
        <v>280</v>
      </c>
      <c r="F30" s="78" t="s">
        <v>289</v>
      </c>
      <c r="G30" s="79"/>
      <c r="H30" s="49" t="s">
        <v>282</v>
      </c>
    </row>
    <row r="31" ht="21" customHeight="1" spans="1:11">
      <c r="A31" s="37"/>
      <c r="B31" s="80"/>
      <c r="C31" s="81"/>
      <c r="D31" s="89">
        <f>H25</f>
        <v>1.72259730301895</v>
      </c>
      <c r="E31" s="83">
        <f>H4</f>
        <v>1916666.66666667</v>
      </c>
      <c r="F31" s="84">
        <f>E31/D31</f>
        <v>1112660.90066878</v>
      </c>
      <c r="G31" s="85"/>
      <c r="H31" s="71">
        <f>D23</f>
        <v>49.9</v>
      </c>
    </row>
    <row r="32" ht="22" customHeight="1" spans="1:11">
      <c r="A32" s="37"/>
      <c r="B32" s="80"/>
      <c r="C32" s="81"/>
      <c r="D32" s="78" t="s">
        <v>290</v>
      </c>
      <c r="E32" s="79"/>
      <c r="F32" s="49" t="s">
        <v>285</v>
      </c>
      <c r="G32" s="49" t="s">
        <v>286</v>
      </c>
      <c r="H32" s="49" t="s">
        <v>287</v>
      </c>
    </row>
    <row r="33" ht="22" customHeight="1" spans="1:8">
      <c r="A33" s="37"/>
      <c r="B33" s="90"/>
      <c r="C33" s="86"/>
      <c r="D33" s="87">
        <v>0.0316</v>
      </c>
      <c r="E33" s="87"/>
      <c r="F33" s="88">
        <f>F31*D33*H31</f>
        <v>1754488.21461055</v>
      </c>
      <c r="G33" s="88">
        <f>F29*(F21/E21)</f>
        <v>787107.31681578</v>
      </c>
      <c r="H33" s="88">
        <f>F33+G33</f>
        <v>2541595.53142633</v>
      </c>
    </row>
    <row r="34" ht="35" customHeight="1" spans="1:8">
      <c r="A34" s="37"/>
      <c r="B34" s="91" t="s">
        <v>291</v>
      </c>
      <c r="C34" s="91"/>
      <c r="D34" s="91"/>
      <c r="E34" s="91"/>
      <c r="F34" s="91"/>
      <c r="G34" s="91"/>
      <c r="H34" s="91"/>
    </row>
    <row r="35" ht="86" customHeight="1" spans="1:8">
      <c r="A35" s="92" t="s">
        <v>292</v>
      </c>
      <c r="B35" s="93"/>
      <c r="C35" s="93"/>
      <c r="D35" s="93"/>
      <c r="E35" s="93"/>
      <c r="F35" s="93"/>
      <c r="G35" s="93"/>
      <c r="H35" s="93"/>
    </row>
    <row r="36" spans="1:8">
      <c r="C36" s="3"/>
      <c r="D36" s="3"/>
      <c r="E36" s="3"/>
    </row>
    <row r="37" spans="1:8">
      <c r="C37" s="3"/>
      <c r="D37" s="3"/>
      <c r="E37" s="3"/>
    </row>
    <row r="38" spans="1:8">
      <c r="C38" s="3"/>
      <c r="D38" s="3"/>
      <c r="E38" s="3"/>
    </row>
    <row r="39" spans="1:8">
      <c r="C39" s="3"/>
      <c r="D39"/>
      <c r="E39" s="3"/>
    </row>
    <row r="40" spans="1:8">
      <c r="C40" s="3"/>
      <c r="D40"/>
      <c r="E40" s="3"/>
      <c r="F40" s="4"/>
    </row>
    <row r="41" spans="1:8">
      <c r="C41" s="3"/>
      <c r="D41"/>
      <c r="E41" s="3"/>
    </row>
    <row r="42" spans="1:8">
      <c r="C42" s="3"/>
      <c r="D42" s="3"/>
      <c r="E42" s="3"/>
    </row>
    <row r="43" spans="1:8">
      <c r="C43" s="3"/>
      <c r="D43" s="3"/>
      <c r="E43" s="3"/>
    </row>
    <row r="44" spans="1:8">
      <c r="C44" s="3"/>
      <c r="D44" s="3"/>
      <c r="E44" s="3"/>
    </row>
    <row r="45" spans="1:8">
      <c r="C45" s="3"/>
      <c r="D45" s="3"/>
      <c r="E45" s="3"/>
    </row>
    <row r="46" spans="1:8">
      <c r="C46" s="3"/>
      <c r="D46" s="3"/>
      <c r="E46" s="3"/>
    </row>
    <row r="47" spans="1:8">
      <c r="C47" s="3"/>
      <c r="D47" s="3"/>
      <c r="E47" s="3"/>
    </row>
    <row r="48" spans="1:8">
      <c r="C48" s="94" t="s">
        <v>293</v>
      </c>
      <c r="D48" s="94"/>
      <c r="E48" s="94"/>
      <c r="F48" s="94"/>
    </row>
    <row r="49" spans="3:6">
      <c r="C49" s="94"/>
      <c r="D49" s="94"/>
      <c r="E49" s="94"/>
      <c r="F49" s="94"/>
    </row>
    <row r="50" spans="3:6">
      <c r="C50" s="94"/>
      <c r="D50" s="94"/>
      <c r="E50" s="94"/>
      <c r="F50" s="94"/>
    </row>
    <row r="51" spans="3:6">
      <c r="C51" s="94"/>
      <c r="D51" s="94"/>
      <c r="E51" s="94"/>
      <c r="F51" s="94"/>
    </row>
    <row r="52" spans="3:6">
      <c r="C52" s="94"/>
      <c r="D52" s="94"/>
      <c r="E52" s="94"/>
      <c r="F52" s="94"/>
    </row>
    <row r="53" spans="3:6">
      <c r="C53" s="94"/>
      <c r="D53" s="94"/>
      <c r="E53" s="94"/>
      <c r="F53" s="94"/>
    </row>
    <row r="54" spans="3:6">
      <c r="C54" s="94"/>
      <c r="D54" s="94"/>
      <c r="E54" s="94"/>
      <c r="F54" s="94"/>
    </row>
    <row r="55" spans="3:6">
      <c r="C55" s="94"/>
      <c r="D55" s="94"/>
      <c r="E55" s="94"/>
      <c r="F55" s="94"/>
    </row>
    <row r="56" spans="3:6">
      <c r="C56" s="94"/>
      <c r="D56" s="94"/>
      <c r="E56" s="94"/>
      <c r="F56" s="94"/>
    </row>
    <row r="57" spans="3:6">
      <c r="C57" s="94"/>
      <c r="D57" s="94"/>
      <c r="E57" s="94"/>
      <c r="F57" s="94"/>
    </row>
  </sheetData>
  <mergeCells count="47">
    <mergeCell ref="A1:H1"/>
    <mergeCell ref="B2:H2"/>
    <mergeCell ref="B3:H3"/>
    <mergeCell ref="B4:C4"/>
    <mergeCell ref="B5:C5"/>
    <mergeCell ref="D5:H5"/>
    <mergeCell ref="B6:C6"/>
    <mergeCell ref="G6:H6"/>
    <mergeCell ref="G7:H7"/>
    <mergeCell ref="G8:H8"/>
    <mergeCell ref="G9:H9"/>
    <mergeCell ref="G10:H10"/>
    <mergeCell ref="G11:H11"/>
    <mergeCell ref="G12:H12"/>
    <mergeCell ref="G13:H13"/>
    <mergeCell ref="G14:H14"/>
    <mergeCell ref="G15:H15"/>
    <mergeCell ref="G16:H16"/>
    <mergeCell ref="B17:H17"/>
    <mergeCell ref="B18:C18"/>
    <mergeCell ref="D18:H18"/>
    <mergeCell ref="B19:C19"/>
    <mergeCell ref="D19:H19"/>
    <mergeCell ref="E22:F22"/>
    <mergeCell ref="G22:H22"/>
    <mergeCell ref="E23:F23"/>
    <mergeCell ref="G23:H23"/>
    <mergeCell ref="F26:G26"/>
    <mergeCell ref="F27:G27"/>
    <mergeCell ref="F30:G30"/>
    <mergeCell ref="F31:G31"/>
    <mergeCell ref="D32:E32"/>
    <mergeCell ref="D33:E33"/>
    <mergeCell ref="B34:H34"/>
    <mergeCell ref="A35:H35"/>
    <mergeCell ref="A2:A16"/>
    <mergeCell ref="A17:A34"/>
    <mergeCell ref="B26:B33"/>
    <mergeCell ref="C26:C29"/>
    <mergeCell ref="C30:C33"/>
    <mergeCell ref="B7:C8"/>
    <mergeCell ref="B9:C10"/>
    <mergeCell ref="B11:C12"/>
    <mergeCell ref="B13:C14"/>
    <mergeCell ref="B15:C16"/>
    <mergeCell ref="B20:C25"/>
    <mergeCell ref="C48:F57"/>
  </mergeCell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34" sqref="M34"/>
    </sheetView>
  </sheetViews>
  <sheetFormatPr defaultColWidth="8.72727272727273" defaultRowHeight="14"/>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1"/>
  <sheetViews>
    <sheetView workbookViewId="0">
      <pane xSplit="2" topLeftCell="K1" activePane="topRight" state="frozen"/>
      <selection/>
      <selection pane="topRight" activeCell="S24" sqref="S24"/>
    </sheetView>
  </sheetViews>
  <sheetFormatPr defaultColWidth="8.72727272727273" defaultRowHeight="14"/>
  <cols>
    <col min="1" max="1" width="9.72727272727273" style="4" customWidth="1"/>
    <col min="2" max="2" width="10.4545454545455" style="4" customWidth="1"/>
    <col min="3" max="5" width="12.9090909090909" style="5" customWidth="1"/>
    <col min="6" max="6" width="14" style="5" customWidth="1"/>
    <col min="7" max="22" width="15.1818181818182" style="5" customWidth="1"/>
    <col min="23" max="16384" width="8.72727272727273" style="5" hidden="1" customWidth="1"/>
  </cols>
  <sheetData>
    <row r="1" ht="21" customHeight="1" spans="1:22">
      <c r="A1" s="6" t="s">
        <v>294</v>
      </c>
      <c r="B1" s="6"/>
      <c r="C1" s="6"/>
      <c r="D1" s="6"/>
      <c r="E1" s="6"/>
      <c r="F1" s="6"/>
      <c r="G1" s="6"/>
      <c r="H1" s="6"/>
      <c r="I1" s="6"/>
      <c r="J1" s="6"/>
      <c r="K1" s="6"/>
      <c r="L1" s="6"/>
      <c r="M1" s="6"/>
      <c r="N1" s="6"/>
      <c r="O1" s="6"/>
      <c r="P1" s="6"/>
      <c r="Q1" s="6"/>
      <c r="R1" s="6"/>
      <c r="S1" s="6"/>
      <c r="T1" s="6"/>
      <c r="U1" s="6"/>
      <c r="V1" s="6"/>
    </row>
    <row r="2" ht="18" customHeight="1" spans="1:22">
      <c r="A2" s="7" t="s">
        <v>295</v>
      </c>
      <c r="B2" s="7"/>
      <c r="C2" s="8">
        <v>2000000</v>
      </c>
      <c r="D2" s="8"/>
      <c r="E2" s="8"/>
      <c r="F2" s="8"/>
      <c r="G2" s="8"/>
      <c r="H2" s="8"/>
      <c r="I2" s="8"/>
      <c r="J2" s="8"/>
      <c r="K2" s="8"/>
      <c r="L2" s="8"/>
      <c r="M2" s="8"/>
      <c r="N2" s="8"/>
      <c r="O2" s="8"/>
      <c r="P2" s="8"/>
      <c r="Q2" s="8"/>
      <c r="R2" s="8"/>
      <c r="S2" s="8"/>
      <c r="T2" s="8"/>
      <c r="U2" s="8"/>
      <c r="V2" s="8"/>
    </row>
    <row r="3" ht="18" customHeight="1" spans="1:22">
      <c r="A3" s="7" t="s">
        <v>296</v>
      </c>
      <c r="B3" s="7"/>
      <c r="C3" s="9">
        <v>1.2</v>
      </c>
      <c r="D3" s="9"/>
      <c r="E3" s="9"/>
      <c r="F3" s="9"/>
      <c r="G3" s="9"/>
      <c r="H3" s="9"/>
      <c r="I3" s="9"/>
      <c r="J3" s="9"/>
      <c r="K3" s="9"/>
      <c r="L3" s="9"/>
      <c r="M3" s="9"/>
      <c r="N3" s="9"/>
      <c r="O3" s="9"/>
      <c r="P3" s="9"/>
      <c r="Q3" s="9"/>
      <c r="R3" s="9"/>
      <c r="S3" s="9"/>
      <c r="T3" s="9"/>
      <c r="U3" s="9"/>
      <c r="V3" s="9"/>
    </row>
    <row r="4" ht="18" customHeight="1" spans="1:22">
      <c r="A4" s="7" t="s">
        <v>297</v>
      </c>
      <c r="B4" s="7"/>
      <c r="C4" s="10" t="s">
        <v>298</v>
      </c>
      <c r="D4" s="10"/>
      <c r="E4" s="10"/>
      <c r="F4" s="10"/>
      <c r="G4" s="10"/>
      <c r="H4" s="10"/>
      <c r="I4" s="10"/>
      <c r="J4" s="10"/>
      <c r="K4" s="10"/>
      <c r="L4" s="10"/>
      <c r="M4" s="10"/>
      <c r="N4" s="10"/>
      <c r="O4" s="10"/>
      <c r="P4" s="10"/>
      <c r="Q4" s="11" t="s">
        <v>299</v>
      </c>
      <c r="R4" s="11"/>
      <c r="S4" s="11"/>
      <c r="T4" s="11"/>
      <c r="U4" s="12" t="s">
        <v>300</v>
      </c>
      <c r="V4" s="12"/>
    </row>
    <row r="5" customHeight="1" spans="1:22">
      <c r="A5" s="13" t="s">
        <v>301</v>
      </c>
      <c r="B5" s="7" t="s">
        <v>302</v>
      </c>
      <c r="C5" s="14">
        <v>0.18</v>
      </c>
      <c r="D5" s="15"/>
      <c r="E5" s="15"/>
      <c r="F5" s="15"/>
      <c r="G5" s="15"/>
      <c r="H5" s="15"/>
      <c r="I5" s="15"/>
      <c r="J5" s="15"/>
      <c r="K5" s="15"/>
      <c r="L5" s="15"/>
      <c r="M5" s="15"/>
      <c r="N5" s="15"/>
      <c r="O5" s="15"/>
      <c r="P5" s="15"/>
      <c r="Q5" s="16">
        <v>0.8</v>
      </c>
      <c r="R5" s="17"/>
      <c r="S5" s="17"/>
      <c r="T5" s="17"/>
      <c r="U5" s="16">
        <v>0.02</v>
      </c>
      <c r="V5" s="17"/>
    </row>
    <row r="6" ht="16.5" spans="1:22">
      <c r="A6" s="13"/>
      <c r="B6" s="7" t="s">
        <v>303</v>
      </c>
      <c r="C6" s="18">
        <f>C2*C5</f>
        <v>360000</v>
      </c>
      <c r="D6" s="18"/>
      <c r="E6" s="18"/>
      <c r="F6" s="18"/>
      <c r="G6" s="18"/>
      <c r="H6" s="18"/>
      <c r="I6" s="18"/>
      <c r="J6" s="18"/>
      <c r="K6" s="18"/>
      <c r="L6" s="18"/>
      <c r="M6" s="18"/>
      <c r="N6" s="18"/>
      <c r="O6" s="18"/>
      <c r="P6" s="18"/>
      <c r="Q6" s="18">
        <f>C2*Q5</f>
        <v>1600000</v>
      </c>
      <c r="R6" s="18"/>
      <c r="S6" s="18"/>
      <c r="T6" s="18"/>
      <c r="U6" s="18">
        <f>C2*U5</f>
        <v>40000</v>
      </c>
      <c r="V6" s="18"/>
    </row>
    <row r="7" ht="16.5" spans="1:22">
      <c r="A7" s="7" t="s">
        <v>304</v>
      </c>
      <c r="B7" s="7"/>
      <c r="C7" s="19" t="s">
        <v>305</v>
      </c>
      <c r="D7" s="19"/>
      <c r="E7" s="19"/>
      <c r="F7" s="20" t="s">
        <v>306</v>
      </c>
      <c r="G7" s="20"/>
      <c r="H7" s="20"/>
      <c r="I7" s="20"/>
      <c r="J7" s="21" t="s">
        <v>307</v>
      </c>
      <c r="K7" s="21"/>
      <c r="L7" s="21"/>
      <c r="M7" s="21"/>
      <c r="N7" s="21"/>
      <c r="O7" s="21"/>
      <c r="P7" s="22" t="s">
        <v>308</v>
      </c>
      <c r="Q7" s="23" t="s">
        <v>309</v>
      </c>
      <c r="R7" s="23"/>
      <c r="S7" s="23"/>
      <c r="T7" s="23"/>
      <c r="U7" s="24" t="s">
        <v>310</v>
      </c>
      <c r="V7" s="24"/>
    </row>
    <row r="8" ht="16.5" spans="1:22">
      <c r="A8" s="7" t="s">
        <v>311</v>
      </c>
      <c r="B8" s="7"/>
      <c r="C8" s="17"/>
      <c r="D8" s="17"/>
      <c r="E8" s="25" t="s">
        <v>312</v>
      </c>
      <c r="F8" s="17"/>
      <c r="G8" s="17"/>
      <c r="H8" s="25" t="s">
        <v>313</v>
      </c>
      <c r="I8" s="17"/>
      <c r="J8" s="17"/>
      <c r="K8" s="17"/>
      <c r="L8" s="17"/>
      <c r="M8" s="17"/>
      <c r="N8" s="17"/>
      <c r="O8" s="17"/>
      <c r="P8" s="25" t="s">
        <v>314</v>
      </c>
      <c r="Q8" s="25">
        <v>74</v>
      </c>
      <c r="R8" s="25">
        <v>147</v>
      </c>
      <c r="S8" s="25" t="s">
        <v>315</v>
      </c>
      <c r="T8" s="25" t="s">
        <v>316</v>
      </c>
      <c r="U8" s="17"/>
      <c r="V8" s="25" t="s">
        <v>317</v>
      </c>
    </row>
    <row r="9" ht="19" customHeight="1" spans="1:22">
      <c r="A9" s="7" t="s">
        <v>318</v>
      </c>
      <c r="B9" s="7"/>
      <c r="C9" s="26" t="s">
        <v>319</v>
      </c>
      <c r="D9" s="26" t="s">
        <v>320</v>
      </c>
      <c r="E9" s="26" t="s">
        <v>321</v>
      </c>
      <c r="F9" s="26" t="s">
        <v>322</v>
      </c>
      <c r="G9" s="26" t="s">
        <v>323</v>
      </c>
      <c r="H9" s="26" t="s">
        <v>324</v>
      </c>
      <c r="I9" s="26" t="s">
        <v>325</v>
      </c>
      <c r="J9" s="26" t="s">
        <v>326</v>
      </c>
      <c r="K9" s="26" t="s">
        <v>327</v>
      </c>
      <c r="L9" s="26" t="s">
        <v>328</v>
      </c>
      <c r="M9" s="26" t="s">
        <v>329</v>
      </c>
      <c r="N9" s="26" t="s">
        <v>330</v>
      </c>
      <c r="O9" s="26" t="s">
        <v>331</v>
      </c>
      <c r="P9" s="26" t="s">
        <v>332</v>
      </c>
      <c r="Q9" s="26" t="s">
        <v>333</v>
      </c>
      <c r="R9" s="26" t="s">
        <v>334</v>
      </c>
      <c r="S9" s="26" t="s">
        <v>335</v>
      </c>
      <c r="T9" s="26" t="s">
        <v>336</v>
      </c>
      <c r="U9" s="26" t="s">
        <v>337</v>
      </c>
      <c r="V9" s="26" t="s">
        <v>338</v>
      </c>
    </row>
    <row r="10" ht="16.5" spans="1:22">
      <c r="A10" s="7" t="s">
        <v>339</v>
      </c>
      <c r="B10" s="7"/>
      <c r="C10" s="27">
        <v>0.0117476798622059</v>
      </c>
      <c r="D10" s="27">
        <v>0.0123008174982432</v>
      </c>
      <c r="E10" s="27">
        <v>0.0275662843365314</v>
      </c>
      <c r="F10" s="27">
        <v>0.0252832134907707</v>
      </c>
      <c r="G10" s="27">
        <v>0.0151330076034309</v>
      </c>
      <c r="H10" s="27">
        <v>0.00750899170643866</v>
      </c>
      <c r="I10" s="27">
        <v>0.0138017253201723</v>
      </c>
      <c r="J10" s="27">
        <v>0.0179809989074873</v>
      </c>
      <c r="K10" s="27">
        <v>0.0127605462772515</v>
      </c>
      <c r="L10" s="27">
        <v>0.0143163719128546</v>
      </c>
      <c r="M10" s="27">
        <v>0.0175770931808399</v>
      </c>
      <c r="N10" s="27">
        <v>0.00252900138204189</v>
      </c>
      <c r="O10" s="27">
        <v>0.00828487693677473</v>
      </c>
      <c r="P10" s="27">
        <v>0.0324688509943709</v>
      </c>
      <c r="Q10" s="27">
        <v>0.15</v>
      </c>
      <c r="R10" s="27">
        <v>0.35</v>
      </c>
      <c r="S10" s="28">
        <v>0.35</v>
      </c>
      <c r="T10" s="27">
        <v>0.15</v>
      </c>
      <c r="U10" s="27">
        <v>0.01</v>
      </c>
      <c r="V10" s="27">
        <v>0.01</v>
      </c>
    </row>
    <row r="11" ht="16.5" spans="1:22">
      <c r="A11" s="29" t="s">
        <v>340</v>
      </c>
      <c r="B11" s="30"/>
      <c r="C11" s="18">
        <v>15962.25</v>
      </c>
      <c r="D11" s="18">
        <v>16713.83</v>
      </c>
      <c r="E11" s="18">
        <v>37455.9</v>
      </c>
      <c r="F11" s="18">
        <v>34353.76</v>
      </c>
      <c r="G11" s="18">
        <v>20562.09</v>
      </c>
      <c r="H11" s="18">
        <v>10202.9</v>
      </c>
      <c r="I11" s="18">
        <v>18753.2</v>
      </c>
      <c r="J11" s="18">
        <v>24431.82</v>
      </c>
      <c r="K11" s="18">
        <v>17338.49</v>
      </c>
      <c r="L11" s="18">
        <v>19452.48</v>
      </c>
      <c r="M11" s="18">
        <v>23883.01</v>
      </c>
      <c r="N11" s="18">
        <v>3436.3</v>
      </c>
      <c r="O11" s="18">
        <v>11257.14</v>
      </c>
      <c r="P11" s="18">
        <v>44117.3</v>
      </c>
      <c r="Q11" s="18">
        <v>203456.78</v>
      </c>
      <c r="R11" s="18">
        <v>499807.51</v>
      </c>
      <c r="S11" s="31">
        <v>79195.25</v>
      </c>
      <c r="T11" s="18">
        <v>278377.65</v>
      </c>
      <c r="U11" s="18">
        <v>28498.32</v>
      </c>
      <c r="V11" s="18">
        <v>19868.5</v>
      </c>
    </row>
    <row r="12" ht="16.5" spans="1:22">
      <c r="A12" s="7" t="s">
        <v>341</v>
      </c>
      <c r="B12" s="7"/>
      <c r="C12" s="18">
        <f>C10*$C$2</f>
        <v>23495.3597244118</v>
      </c>
      <c r="D12" s="18">
        <f>D10*$C$2</f>
        <v>24601.6349964864</v>
      </c>
      <c r="E12" s="18">
        <f t="shared" ref="E12:J12" si="0">E10*$C$2</f>
        <v>55132.5686730628</v>
      </c>
      <c r="F12" s="18">
        <f t="shared" si="0"/>
        <v>50566.4269815414</v>
      </c>
      <c r="G12" s="18">
        <f t="shared" si="0"/>
        <v>30266.0152068618</v>
      </c>
      <c r="H12" s="18">
        <f t="shared" si="0"/>
        <v>15017.9834128773</v>
      </c>
      <c r="I12" s="18">
        <f t="shared" si="0"/>
        <v>27603.4506403446</v>
      </c>
      <c r="J12" s="18">
        <f t="shared" si="0"/>
        <v>35961.9978149746</v>
      </c>
      <c r="K12" s="18">
        <f t="shared" ref="K12:V12" si="1">K10*$C$2</f>
        <v>25521.092554503</v>
      </c>
      <c r="L12" s="18">
        <f t="shared" si="1"/>
        <v>28632.7438257092</v>
      </c>
      <c r="M12" s="18">
        <f t="shared" si="1"/>
        <v>35154.1863616798</v>
      </c>
      <c r="N12" s="18">
        <f t="shared" si="1"/>
        <v>5058.00276408378</v>
      </c>
      <c r="O12" s="18">
        <f t="shared" si="1"/>
        <v>16569.7538735495</v>
      </c>
      <c r="P12" s="18">
        <f t="shared" si="1"/>
        <v>64937.7019887418</v>
      </c>
      <c r="Q12" s="18">
        <f t="shared" si="1"/>
        <v>300000</v>
      </c>
      <c r="R12" s="18">
        <f t="shared" si="1"/>
        <v>700000</v>
      </c>
      <c r="S12" s="31">
        <f t="shared" si="1"/>
        <v>700000</v>
      </c>
      <c r="T12" s="18">
        <f t="shared" si="1"/>
        <v>300000</v>
      </c>
      <c r="U12" s="18">
        <f t="shared" si="1"/>
        <v>20000</v>
      </c>
      <c r="V12" s="18">
        <f t="shared" si="1"/>
        <v>20000</v>
      </c>
    </row>
    <row r="13" ht="15" customHeight="1" spans="1:22">
      <c r="A13" s="13" t="s">
        <v>342</v>
      </c>
      <c r="B13" s="13"/>
      <c r="C13" s="17"/>
      <c r="D13" s="17"/>
      <c r="E13" s="17"/>
      <c r="F13" s="17"/>
      <c r="G13" s="17"/>
      <c r="H13" s="17"/>
      <c r="I13" s="17"/>
      <c r="J13" s="17"/>
      <c r="K13" s="17"/>
      <c r="L13" s="17"/>
      <c r="M13" s="17"/>
      <c r="N13" s="17"/>
      <c r="O13" s="17"/>
      <c r="P13" s="17"/>
      <c r="Q13" s="15">
        <f>Q12/SUM($Q$12:$T$12)</f>
        <v>0.15</v>
      </c>
      <c r="R13" s="15">
        <f>R12/SUM($Q$12:$T$12)</f>
        <v>0.35</v>
      </c>
      <c r="S13" s="32">
        <f>S12/SUM($Q$12:$T$12)</f>
        <v>0.35</v>
      </c>
      <c r="T13" s="15">
        <f>T12/SUM($Q$12:$T$12)</f>
        <v>0.15</v>
      </c>
      <c r="U13" s="17"/>
      <c r="V13" s="17"/>
    </row>
    <row r="14" ht="15" customHeight="1" spans="1:22">
      <c r="A14" s="13" t="s">
        <v>343</v>
      </c>
      <c r="B14" s="13"/>
      <c r="C14" s="17">
        <v>1.36</v>
      </c>
      <c r="D14" s="17">
        <v>1.51</v>
      </c>
      <c r="E14" s="17">
        <v>1.07</v>
      </c>
      <c r="F14" s="17">
        <v>1.33</v>
      </c>
      <c r="G14" s="17">
        <v>1.27</v>
      </c>
      <c r="H14" s="17">
        <v>1.25</v>
      </c>
      <c r="I14" s="17">
        <v>1.32</v>
      </c>
      <c r="J14" s="17">
        <v>1.18</v>
      </c>
      <c r="K14" s="17">
        <v>1.31</v>
      </c>
      <c r="L14" s="17">
        <v>1.27</v>
      </c>
      <c r="M14" s="17">
        <v>0.81</v>
      </c>
      <c r="N14" s="17">
        <v>1.4</v>
      </c>
      <c r="O14" s="17">
        <v>1.27</v>
      </c>
      <c r="P14" s="17">
        <v>1.19</v>
      </c>
      <c r="Q14" s="17">
        <v>1.32</v>
      </c>
      <c r="R14" s="17">
        <v>1.33</v>
      </c>
      <c r="S14" s="33">
        <v>1.25</v>
      </c>
      <c r="T14" s="17">
        <v>1.22</v>
      </c>
      <c r="U14" s="17">
        <v>0.79</v>
      </c>
      <c r="V14" s="17">
        <v>1.35</v>
      </c>
    </row>
    <row r="15" ht="15" customHeight="1" spans="1:22">
      <c r="A15" s="13" t="s">
        <v>344</v>
      </c>
      <c r="B15" s="13"/>
      <c r="C15" s="18">
        <f>C12/C14</f>
        <v>17275.9997973616</v>
      </c>
      <c r="D15" s="18">
        <f>D12/D14</f>
        <v>16292.4735076069</v>
      </c>
      <c r="E15" s="18">
        <f t="shared" ref="E15:V15" si="2">E12/E14</f>
        <v>51525.765115012</v>
      </c>
      <c r="F15" s="18">
        <f t="shared" si="2"/>
        <v>38019.8699109334</v>
      </c>
      <c r="G15" s="18">
        <f t="shared" si="2"/>
        <v>23831.5080368991</v>
      </c>
      <c r="H15" s="18">
        <f t="shared" si="2"/>
        <v>12014.3867303019</v>
      </c>
      <c r="I15" s="18">
        <f t="shared" si="2"/>
        <v>20911.7050305641</v>
      </c>
      <c r="J15" s="18">
        <f t="shared" si="2"/>
        <v>30476.2693347242</v>
      </c>
      <c r="K15" s="18">
        <f t="shared" si="2"/>
        <v>19481.7500416053</v>
      </c>
      <c r="L15" s="18">
        <f t="shared" si="2"/>
        <v>22545.4675792986</v>
      </c>
      <c r="M15" s="18">
        <f t="shared" si="2"/>
        <v>43400.2300761479</v>
      </c>
      <c r="N15" s="18">
        <f t="shared" si="2"/>
        <v>3612.8591172027</v>
      </c>
      <c r="O15" s="18">
        <f t="shared" si="2"/>
        <v>13047.0502941334</v>
      </c>
      <c r="P15" s="18">
        <f t="shared" si="2"/>
        <v>54569.4974695309</v>
      </c>
      <c r="Q15" s="18">
        <f t="shared" si="2"/>
        <v>227272.727272727</v>
      </c>
      <c r="R15" s="18">
        <f t="shared" si="2"/>
        <v>526315.789473684</v>
      </c>
      <c r="S15" s="31">
        <f t="shared" si="2"/>
        <v>560000</v>
      </c>
      <c r="T15" s="18">
        <f t="shared" si="2"/>
        <v>245901.639344262</v>
      </c>
      <c r="U15" s="18">
        <f t="shared" si="2"/>
        <v>25316.4556962025</v>
      </c>
      <c r="V15" s="18">
        <f t="shared" si="2"/>
        <v>14814.8148148148</v>
      </c>
    </row>
    <row r="16" ht="16.5" spans="1:22">
      <c r="A16" s="7" t="s">
        <v>23</v>
      </c>
      <c r="B16" s="7"/>
      <c r="C16" s="17"/>
      <c r="D16" s="17"/>
      <c r="E16" s="17"/>
      <c r="F16" s="17"/>
      <c r="G16" s="17"/>
      <c r="H16" s="17"/>
      <c r="I16" s="17"/>
      <c r="J16" s="17"/>
      <c r="K16" s="17"/>
      <c r="L16" s="17"/>
      <c r="M16" s="17"/>
      <c r="N16" s="17"/>
      <c r="O16" s="17"/>
      <c r="P16" s="17"/>
      <c r="Q16" s="17"/>
      <c r="R16" s="17"/>
      <c r="S16" s="17"/>
      <c r="T16" s="17"/>
      <c r="U16" s="17"/>
      <c r="V16" s="17"/>
    </row>
    <row r="17" ht="16.5" spans="1:22">
      <c r="A17" s="7" t="s">
        <v>345</v>
      </c>
      <c r="B17" s="7"/>
      <c r="C17" s="17"/>
      <c r="D17" s="17"/>
      <c r="E17" s="17"/>
      <c r="F17" s="17"/>
      <c r="G17" s="17"/>
      <c r="H17" s="17"/>
      <c r="I17" s="17"/>
      <c r="J17" s="17"/>
      <c r="K17" s="17"/>
      <c r="L17" s="17"/>
      <c r="M17" s="17"/>
      <c r="N17" s="17"/>
      <c r="O17" s="17"/>
      <c r="P17" s="17"/>
      <c r="Q17" s="17"/>
      <c r="R17" s="17"/>
      <c r="S17" s="17"/>
      <c r="T17" s="17"/>
      <c r="U17" s="17"/>
      <c r="V17" s="17"/>
    </row>
    <row r="18" ht="16.5" spans="1:22">
      <c r="A18" s="7" t="s">
        <v>346</v>
      </c>
      <c r="B18" s="7"/>
      <c r="C18" s="17"/>
      <c r="D18" s="17"/>
      <c r="E18" s="17"/>
      <c r="F18" s="17"/>
      <c r="G18" s="17"/>
      <c r="H18" s="17"/>
      <c r="I18" s="17"/>
      <c r="J18" s="17"/>
      <c r="K18" s="17"/>
      <c r="L18" s="17"/>
      <c r="M18" s="17"/>
      <c r="N18" s="17"/>
      <c r="O18" s="17"/>
      <c r="P18" s="17"/>
      <c r="Q18" s="17"/>
      <c r="R18" s="17"/>
      <c r="S18" s="17"/>
      <c r="T18" s="17"/>
      <c r="U18" s="17"/>
      <c r="V18" s="17"/>
    </row>
    <row r="19" ht="16.5" spans="1:22">
      <c r="A19" s="7" t="s">
        <v>347</v>
      </c>
      <c r="B19" s="7"/>
      <c r="C19" s="34"/>
      <c r="D19" s="34"/>
      <c r="E19" s="34"/>
      <c r="F19" s="34"/>
      <c r="G19" s="34"/>
      <c r="H19" s="34"/>
      <c r="I19" s="34"/>
      <c r="J19" s="34"/>
      <c r="K19" s="34"/>
      <c r="L19" s="34"/>
      <c r="M19" s="34"/>
      <c r="N19" s="34"/>
      <c r="O19" s="34"/>
      <c r="P19" s="34"/>
      <c r="Q19" s="34"/>
      <c r="R19" s="34"/>
      <c r="S19" s="34"/>
      <c r="T19" s="34"/>
      <c r="U19" s="34"/>
      <c r="V19" s="34"/>
    </row>
    <row r="20" ht="16.5" spans="1:22">
      <c r="A20" s="7" t="s">
        <v>348</v>
      </c>
      <c r="B20" s="7"/>
      <c r="C20" s="17"/>
      <c r="D20" s="17"/>
      <c r="E20" s="17"/>
      <c r="F20" s="17"/>
      <c r="G20" s="17"/>
      <c r="H20" s="17"/>
      <c r="I20" s="17"/>
      <c r="J20" s="17"/>
      <c r="K20" s="17"/>
      <c r="L20" s="17"/>
      <c r="M20" s="17"/>
      <c r="N20" s="17"/>
      <c r="O20" s="17"/>
      <c r="P20" s="18"/>
      <c r="Q20" s="17"/>
      <c r="R20" s="17"/>
      <c r="S20" s="17"/>
      <c r="T20" s="17"/>
      <c r="U20" s="17"/>
      <c r="V20" s="17"/>
    </row>
    <row r="21" spans="1:22">
      <c r="P21" s="35"/>
    </row>
  </sheetData>
  <mergeCells count="35">
    <mergeCell ref="A1:V1"/>
    <mergeCell ref="A2:B2"/>
    <mergeCell ref="C2:V2"/>
    <mergeCell ref="A3:B3"/>
    <mergeCell ref="C3:V3"/>
    <mergeCell ref="A4:B4"/>
    <mergeCell ref="C4:P4"/>
    <mergeCell ref="Q4:T4"/>
    <mergeCell ref="U4:V4"/>
    <mergeCell ref="C5:P5"/>
    <mergeCell ref="Q5:T5"/>
    <mergeCell ref="U5:V5"/>
    <mergeCell ref="C6:P6"/>
    <mergeCell ref="Q6:T6"/>
    <mergeCell ref="U6:V6"/>
    <mergeCell ref="A7:B7"/>
    <mergeCell ref="C7:E7"/>
    <mergeCell ref="F7:I7"/>
    <mergeCell ref="J7:O7"/>
    <mergeCell ref="Q7:T7"/>
    <mergeCell ref="U7:V7"/>
    <mergeCell ref="A8:B8"/>
    <mergeCell ref="A9:B9"/>
    <mergeCell ref="A10:B10"/>
    <mergeCell ref="A11:B11"/>
    <mergeCell ref="A12:B12"/>
    <mergeCell ref="A13:B13"/>
    <mergeCell ref="A14:B14"/>
    <mergeCell ref="A15:B15"/>
    <mergeCell ref="A16:B16"/>
    <mergeCell ref="A17:B17"/>
    <mergeCell ref="A18:B18"/>
    <mergeCell ref="A19:B19"/>
    <mergeCell ref="A20:B20"/>
    <mergeCell ref="A5:A6"/>
  </mergeCells>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3"/>
  <sheetViews>
    <sheetView tabSelected="1" workbookViewId="0">
      <selection activeCell="D10" sqref="D10"/>
    </sheetView>
  </sheetViews>
  <sheetFormatPr defaultColWidth="8.72727272727273" defaultRowHeight="14" outlineLevelRow="2"/>
  <cols>
    <col min="1" max="1" width="19.8181818181818" customWidth="1"/>
    <col min="2" max="2" width="17.6363636363636" customWidth="1"/>
    <col min="6" max="6" width="13.2727272727273" customWidth="1"/>
    <col min="7" max="9" width="26.4545454545455" customWidth="1"/>
  </cols>
  <sheetData>
    <row r="1" spans="1:9">
      <c r="A1" t="s">
        <v>349</v>
      </c>
      <c r="B1" t="s">
        <v>13</v>
      </c>
      <c r="C1" t="s">
        <v>7</v>
      </c>
      <c r="D1" t="s">
        <v>9</v>
      </c>
      <c r="E1" t="s">
        <v>101</v>
      </c>
      <c r="F1" t="s">
        <v>154</v>
      </c>
      <c r="G1" s="1" t="s">
        <v>350</v>
      </c>
      <c r="H1" s="2"/>
      <c r="I1" s="2"/>
    </row>
    <row r="2" ht="42" spans="1:9">
      <c r="A2" s="3" t="s">
        <v>351</v>
      </c>
      <c r="G2" s="2"/>
      <c r="H2" s="2"/>
      <c r="I2" s="2"/>
    </row>
    <row r="3" spans="1:9">
      <c r="A3" t="s">
        <v>352</v>
      </c>
      <c r="G3" s="2"/>
      <c r="H3" s="2"/>
      <c r="I3" s="2"/>
    </row>
  </sheetData>
  <mergeCells count="1">
    <mergeCell ref="G1:I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 Community</Application>
  <HeadingPairs>
    <vt:vector size="2" baseType="variant">
      <vt:variant>
        <vt:lpstr>工作表</vt:lpstr>
      </vt:variant>
      <vt:variant>
        <vt:i4>12</vt:i4>
      </vt:variant>
    </vt:vector>
  </HeadingPairs>
  <TitlesOfParts>
    <vt:vector size="12" baseType="lpstr">
      <vt:lpstr>项目规划</vt:lpstr>
      <vt:lpstr>公式表</vt:lpstr>
      <vt:lpstr>每日转化数据</vt:lpstr>
      <vt:lpstr>推广数据统计</vt:lpstr>
      <vt:lpstr>新老客销售数据</vt:lpstr>
      <vt:lpstr>每日直播数据总览 </vt:lpstr>
      <vt:lpstr>数据拆分表</vt:lpstr>
      <vt:lpstr>大场数据</vt:lpstr>
      <vt:lpstr>大场倒推数据表 </vt:lpstr>
      <vt:lpstr>立白大场</vt:lpstr>
      <vt:lpstr>大场规划表</vt:lpstr>
      <vt:lpstr>总结表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 amo.</cp:lastModifiedBy>
  <dcterms:created xsi:type="dcterms:W3CDTF">2018-06-02T08:28:00Z</dcterms:created>
  <dcterms:modified xsi:type="dcterms:W3CDTF">2026-03-10T06:20:55Z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948681829E0E48EC8B517581B1871C00_13</vt:lpwstr>
  </property>
  <property fmtid="{D5CDD505-2E9C-101B-9397-08002B2CF9AE}" pid="4" name="KSOReadingLayout">
    <vt:bool>false</vt:bool>
  </property>
  <property fmtid="{D5CDD505-2E9C-101B-9397-08002B2CF9AE}" pid="5" name="CalculationRule">
    <vt:i4>0</vt:i4>
  </property>
</Properties>
</file>